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46280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27</v>
      </c>
      <c r="D4" s="207" t="n"/>
      <c r="E4" s="207" t="n">
        <v>33</v>
      </c>
      <c r="F4" s="207" t="n"/>
      <c r="G4" s="207" t="n">
        <v>1</v>
      </c>
      <c r="H4" s="207" t="n"/>
      <c r="I4" s="207" t="n"/>
      <c r="J4" s="207" t="n"/>
      <c r="K4" s="208" t="n"/>
      <c r="L4" s="209" t="n">
        <v>21</v>
      </c>
      <c r="M4" s="210" t="n"/>
      <c r="N4" s="210" t="n">
        <v>35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6</v>
      </c>
      <c r="Y4" s="207" t="n"/>
      <c r="Z4" s="207" t="n">
        <v>8</v>
      </c>
      <c r="AA4" s="207" t="n">
        <v>1</v>
      </c>
      <c r="AB4" s="207" t="n"/>
      <c r="AC4" s="207" t="n"/>
      <c r="AD4" s="207" t="n"/>
      <c r="AE4" s="207" t="n"/>
      <c r="AF4" s="208" t="n"/>
      <c r="AG4" s="212" t="n">
        <v>7</v>
      </c>
      <c r="AH4" s="207" t="n"/>
      <c r="AI4" s="207" t="n">
        <v>14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35</v>
      </c>
      <c r="D5" s="215" t="n"/>
      <c r="E5" s="215" t="n">
        <v>10</v>
      </c>
      <c r="F5" s="215" t="n">
        <v>4</v>
      </c>
      <c r="G5" s="215" t="n">
        <v>1</v>
      </c>
      <c r="H5" s="215" t="n"/>
      <c r="I5" s="215" t="n"/>
      <c r="J5" s="215" t="n"/>
      <c r="K5" s="216" t="n"/>
      <c r="L5" s="217" t="n">
        <v>6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15</v>
      </c>
      <c r="Y5" s="215" t="n"/>
      <c r="Z5" s="215" t="n">
        <v>20</v>
      </c>
      <c r="AA5" s="215" t="n"/>
      <c r="AB5" s="215" t="n"/>
      <c r="AC5" s="215" t="n"/>
      <c r="AD5" s="215" t="n"/>
      <c r="AE5" s="215" t="n"/>
      <c r="AF5" s="216" t="n"/>
      <c r="AG5" s="217" t="n"/>
      <c r="AH5" s="215" t="n"/>
      <c r="AI5" s="215" t="n">
        <v>1</v>
      </c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18</v>
      </c>
      <c r="D6" s="215" t="n"/>
      <c r="E6" s="215" t="n">
        <v>3</v>
      </c>
      <c r="F6" s="215" t="n"/>
      <c r="G6" s="215" t="n">
        <v>2</v>
      </c>
      <c r="H6" s="215" t="n"/>
      <c r="I6" s="215" t="n"/>
      <c r="J6" s="215" t="n"/>
      <c r="K6" s="216" t="n"/>
      <c r="L6" s="217" t="n">
        <v>1</v>
      </c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1</v>
      </c>
      <c r="Y6" s="215" t="n"/>
      <c r="Z6" s="215" t="n">
        <v>3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78</v>
      </c>
      <c r="Y7" s="215" t="n"/>
      <c r="Z7" s="215" t="n">
        <v>72</v>
      </c>
      <c r="AA7" s="215" t="n"/>
      <c r="AB7" s="215" t="n"/>
      <c r="AC7" s="215" t="n"/>
      <c r="AD7" s="215" t="n"/>
      <c r="AE7" s="215" t="n"/>
      <c r="AF7" s="216" t="n"/>
      <c r="AG7" s="217" t="n">
        <v>120</v>
      </c>
      <c r="AH7" s="215" t="n"/>
      <c r="AI7" s="215" t="n">
        <v>25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796</v>
      </c>
      <c r="M8" s="223" t="n"/>
      <c r="N8" s="223" t="n">
        <v>834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804</v>
      </c>
      <c r="AH8" s="223" t="n"/>
      <c r="AI8" s="223" t="n">
        <v>178</v>
      </c>
      <c r="AJ8" s="223" t="n">
        <v>8</v>
      </c>
      <c r="AK8" s="223" t="n">
        <v>61</v>
      </c>
      <c r="AL8" s="223" t="n"/>
      <c r="AM8" s="223" t="n"/>
      <c r="AN8" s="223" t="n"/>
      <c r="AO8" s="224" t="n">
        <v>1</v>
      </c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834</v>
      </c>
      <c r="M9" s="223" t="n">
        <v>5</v>
      </c>
      <c r="N9" s="223" t="n">
        <v>740</v>
      </c>
      <c r="O9" s="223" t="n">
        <v>29</v>
      </c>
      <c r="P9" s="223" t="n">
        <v>51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43</v>
      </c>
      <c r="AH9" s="223" t="n"/>
      <c r="AI9" s="223" t="n">
        <v>31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1231</v>
      </c>
      <c r="AH10" s="223" t="n">
        <v>2</v>
      </c>
      <c r="AI10" s="223" t="n">
        <v>710</v>
      </c>
      <c r="AJ10" s="223" t="n"/>
      <c r="AK10" s="223" t="n"/>
      <c r="AL10" s="223" t="n"/>
      <c r="AM10" s="223" t="n">
        <v>2</v>
      </c>
      <c r="AN10" s="223" t="n">
        <v>2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169</v>
      </c>
      <c r="AH14" s="51" t="n"/>
      <c r="AI14" s="51" t="n">
        <v>34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15-20/09/2026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15-20/09/2026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21</v>
      </c>
      <c r="D31" s="207" t="n"/>
      <c r="E31" s="207" t="n">
        <v>34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6</v>
      </c>
      <c r="D32" s="215" t="n"/>
      <c r="E32" s="215" t="n">
        <v>2</v>
      </c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>
        <f>SUM(AG5-X32)</f>
        <v/>
      </c>
      <c r="AH32" s="232">
        <f>SUM(AH5-Y32)</f>
        <v/>
      </c>
      <c r="AI32" s="232">
        <f>SUM(AI5-Z32)</f>
        <v/>
      </c>
      <c r="AJ32" s="232">
        <f>SUM(AJ5-AA32)</f>
        <v/>
      </c>
      <c r="AK32" s="232">
        <f>SUM(AK5-AB32)</f>
        <v/>
      </c>
      <c r="AL32" s="232">
        <f>SUM(AL5-AC32)</f>
        <v/>
      </c>
      <c r="AM32" s="232">
        <f>SUM(AM5-AD32)</f>
        <v/>
      </c>
      <c r="AN32" s="232">
        <f>SUM(AN5-AE32)</f>
        <v/>
      </c>
      <c r="AO32" s="233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>
        <v>1</v>
      </c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>
        <f>SUM(AG6-X33)</f>
        <v/>
      </c>
      <c r="AH33" s="232">
        <f>SUM(AH6-Y33)</f>
        <v/>
      </c>
      <c r="AI33" s="232">
        <f>SUM(AI6-Z33)</f>
        <v/>
      </c>
      <c r="AJ33" s="232">
        <f>SUM(AJ6-AA33)</f>
        <v/>
      </c>
      <c r="AK33" s="232">
        <f>SUM(AK6-AB33)</f>
        <v/>
      </c>
      <c r="AL33" s="232">
        <f>SUM(AL6-AC33)</f>
        <v/>
      </c>
      <c r="AM33" s="232">
        <f>SUM(AM6-AD33)</f>
        <v/>
      </c>
      <c r="AN33" s="232">
        <f>SUM(AN6-AE33)</f>
        <v/>
      </c>
      <c r="AO33" s="233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>
        <f>SUM(AG7-X34)</f>
        <v/>
      </c>
      <c r="AH34" s="232">
        <f>SUM(AH7-Y34)</f>
        <v/>
      </c>
      <c r="AI34" s="232">
        <f>SUM(AI7-Z34)</f>
        <v/>
      </c>
      <c r="AJ34" s="232">
        <f>SUM(AJ7-AA34)</f>
        <v/>
      </c>
      <c r="AK34" s="232">
        <f>SUM(AK7-AB34)</f>
        <v/>
      </c>
      <c r="AL34" s="232">
        <f>SUM(AL7-AC34)</f>
        <v/>
      </c>
      <c r="AM34" s="232">
        <f>SUM(AM7-AD34)</f>
        <v/>
      </c>
      <c r="AN34" s="232">
        <f>SUM(AN7-AE34)</f>
        <v/>
      </c>
      <c r="AO34" s="233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198</v>
      </c>
      <c r="D35" s="223" t="n"/>
      <c r="E35" s="223" t="n">
        <v>80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68</v>
      </c>
      <c r="Y35" s="223" t="n"/>
      <c r="Z35" s="223" t="n">
        <v>80</v>
      </c>
      <c r="AA35" s="223" t="n"/>
      <c r="AB35" s="223" t="n">
        <v>39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205</v>
      </c>
      <c r="D36" s="223" t="n"/>
      <c r="E36" s="223" t="n">
        <v>131</v>
      </c>
      <c r="F36" s="223" t="n">
        <v>8</v>
      </c>
      <c r="G36" s="223" t="n">
        <v>42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4</v>
      </c>
      <c r="Y36" s="223" t="n"/>
      <c r="Z36" s="223" t="n">
        <v>3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220</v>
      </c>
      <c r="Y37" s="223" t="n"/>
      <c r="Z37" s="223" t="n">
        <v>199</v>
      </c>
      <c r="AA37" s="223" t="n"/>
      <c r="AB37" s="223" t="n"/>
      <c r="AC37" s="223" t="n"/>
      <c r="AD37" s="223" t="n"/>
      <c r="AE37" s="223" t="n"/>
      <c r="AF37" s="238" t="n"/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21-27/09/2026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21-27/09/2026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11</v>
      </c>
      <c r="D45" s="207" t="n"/>
      <c r="E45" s="207" t="n">
        <v>20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>
        <f>SUM(AG32-X46)</f>
        <v/>
      </c>
      <c r="AH46" s="232">
        <f>SUM(AH32-Y46)</f>
        <v/>
      </c>
      <c r="AI46" s="232">
        <f>SUM(AI32-Z46)</f>
        <v/>
      </c>
      <c r="AJ46" s="232">
        <f>SUM(AJ32-AA46)</f>
        <v/>
      </c>
      <c r="AK46" s="232">
        <f>SUM(AK32-AB46)</f>
        <v/>
      </c>
      <c r="AL46" s="232">
        <f>SUM(AL32-AC46)</f>
        <v/>
      </c>
      <c r="AM46" s="232">
        <f>SUM(AM32-AD46)</f>
        <v/>
      </c>
      <c r="AN46" s="232">
        <f>SUM(AN32-AE46)</f>
        <v/>
      </c>
      <c r="AO46" s="233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1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>
        <f>SUM(AG33-X47)</f>
        <v/>
      </c>
      <c r="AH47" s="232">
        <f>SUM(AH33-Y47)</f>
        <v/>
      </c>
      <c r="AI47" s="232">
        <f>SUM(AI33-Z47)</f>
        <v/>
      </c>
      <c r="AJ47" s="232">
        <f>SUM(AJ33-AA47)</f>
        <v/>
      </c>
      <c r="AK47" s="232">
        <f>SUM(AK33-AB47)</f>
        <v/>
      </c>
      <c r="AL47" s="232">
        <f>SUM(AL33-AC47)</f>
        <v/>
      </c>
      <c r="AM47" s="232">
        <f>SUM(AM33-AD47)</f>
        <v/>
      </c>
      <c r="AN47" s="232">
        <f>SUM(AN33-AE47)</f>
        <v/>
      </c>
      <c r="AO47" s="233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>
        <f>SUM(AG34-X48)</f>
        <v/>
      </c>
      <c r="AH48" s="232">
        <f>SUM(AH34-Y48)</f>
        <v/>
      </c>
      <c r="AI48" s="232">
        <f>SUM(AI34-Z48)</f>
        <v/>
      </c>
      <c r="AJ48" s="232">
        <f>SUM(AJ34-AA48)</f>
        <v/>
      </c>
      <c r="AK48" s="232">
        <f>SUM(AK34-AB48)</f>
        <v/>
      </c>
      <c r="AL48" s="232">
        <f>SUM(AL34-AC48)</f>
        <v/>
      </c>
      <c r="AM48" s="232">
        <f>SUM(AM34-AD48)</f>
        <v/>
      </c>
      <c r="AN48" s="232">
        <f>SUM(AN34-AE48)</f>
        <v/>
      </c>
      <c r="AO48" s="233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89</v>
      </c>
      <c r="D49" s="223" t="n"/>
      <c r="E49" s="223" t="n">
        <v>52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80</v>
      </c>
      <c r="Y49" s="223" t="n"/>
      <c r="Z49" s="223" t="n">
        <v>72</v>
      </c>
      <c r="AA49" s="223" t="n">
        <v>2</v>
      </c>
      <c r="AB49" s="223" t="n">
        <v>8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40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127</v>
      </c>
      <c r="D50" s="223" t="n"/>
      <c r="E50" s="223" t="n">
        <v>127</v>
      </c>
      <c r="F50" s="223" t="n">
        <v>6</v>
      </c>
      <c r="G50" s="223" t="n">
        <v>24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50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>
        <v>11</v>
      </c>
      <c r="Y50" s="223" t="n"/>
      <c r="Z50" s="223" t="n">
        <v>11</v>
      </c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185</v>
      </c>
      <c r="Y51" s="223" t="n"/>
      <c r="Z51" s="223" t="n">
        <v>126</v>
      </c>
      <c r="AA51" s="223" t="n"/>
      <c r="AB51" s="223" t="n"/>
      <c r="AC51" s="223" t="n"/>
      <c r="AD51" s="223" t="n"/>
      <c r="AE51" s="223" t="n"/>
      <c r="AF51" s="238" t="n"/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2026</v>
      </c>
      <c r="B4" s="122" t="n"/>
      <c r="C4" s="122" t="n"/>
      <c r="D4" s="122" t="n"/>
      <c r="E4" s="118" t="n"/>
      <c r="F4" s="122" t="n">
        <v>2026</v>
      </c>
      <c r="G4" s="122" t="n"/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2025</v>
      </c>
      <c r="B5" s="123" t="n">
        <v>7</v>
      </c>
      <c r="C5" s="123" t="n"/>
      <c r="D5" s="123" t="n"/>
      <c r="E5" s="118" t="n"/>
      <c r="F5" s="122" t="n">
        <v>2025</v>
      </c>
      <c r="G5" s="123" t="n">
        <v>10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2024</v>
      </c>
      <c r="B6" s="123" t="n"/>
      <c r="C6" s="123" t="n"/>
      <c r="D6" s="123" t="n"/>
      <c r="E6" s="118" t="n"/>
      <c r="F6" s="122" t="n">
        <v>2024</v>
      </c>
      <c r="G6" s="123" t="n"/>
      <c r="H6" s="123" t="n"/>
      <c r="I6" s="123" t="n"/>
    </row>
    <row r="7" ht="16.15" customHeight="1">
      <c r="A7" s="124" t="n">
        <v>2023</v>
      </c>
      <c r="B7" s="125" t="n">
        <v>4</v>
      </c>
      <c r="C7" s="125" t="n"/>
      <c r="D7" s="125" t="n"/>
      <c r="E7" s="111" t="n"/>
      <c r="F7" s="124" t="n">
        <v>2023</v>
      </c>
      <c r="G7" s="125" t="n">
        <v>2</v>
      </c>
      <c r="H7" s="125" t="n"/>
      <c r="I7" s="125" t="n"/>
    </row>
    <row r="8" ht="16.15" customHeight="1" thickBot="1">
      <c r="A8" s="124" t="n">
        <v>2022</v>
      </c>
      <c r="B8" s="125" t="n"/>
      <c r="C8" s="125" t="n"/>
      <c r="D8" s="125" t="n"/>
      <c r="F8" s="124" t="n">
        <v>2022</v>
      </c>
      <c r="G8" s="125" t="n"/>
      <c r="H8" s="125" t="n"/>
      <c r="I8" s="125" t="n"/>
    </row>
    <row r="9" ht="16.15" customHeight="1" thickTop="1">
      <c r="A9" s="124" t="n">
        <v>2021</v>
      </c>
      <c r="B9" s="125" t="n">
        <v>18</v>
      </c>
      <c r="C9" s="125" t="n"/>
      <c r="D9" s="125" t="n"/>
      <c r="F9" s="124" t="n">
        <v>2021</v>
      </c>
      <c r="G9" s="125" t="n">
        <v>4</v>
      </c>
      <c r="H9" s="125" t="n"/>
      <c r="I9" s="125" t="n"/>
    </row>
    <row r="10">
      <c r="A10" s="124" t="n">
        <v>2020</v>
      </c>
      <c r="B10" s="125" t="n">
        <v>6</v>
      </c>
      <c r="C10" s="125" t="n"/>
      <c r="D10" s="125" t="n"/>
      <c r="F10" s="124" t="n">
        <v>2020</v>
      </c>
      <c r="G10" s="125" t="n">
        <v>8</v>
      </c>
      <c r="H10" s="125" t="n"/>
      <c r="I10" s="125" t="n"/>
    </row>
    <row r="11">
      <c r="A11" s="126" t="inlineStr">
        <is>
          <t>TOTAL</t>
        </is>
      </c>
      <c r="B11" s="127">
        <f>SUM(B4:B10)</f>
        <v/>
      </c>
      <c r="C11" s="127">
        <f>SUM(C4:C10)</f>
        <v/>
      </c>
      <c r="D11" s="127">
        <f>SUM(D4:D10)</f>
        <v/>
      </c>
      <c r="E11" s="128" t="n"/>
      <c r="F11" s="126" t="inlineStr">
        <is>
          <t>TOTAL</t>
        </is>
      </c>
      <c r="G11" s="127">
        <f>SUM(G4:G10)</f>
        <v/>
      </c>
      <c r="H11" s="127">
        <f>SUM(H4:H10)</f>
        <v/>
      </c>
      <c r="I11" s="127">
        <f>SUM(I4:I10)</f>
        <v/>
      </c>
      <c r="J11" s="129" t="n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5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6">
        <f>Daily!AD41</f>
        <v/>
      </c>
      <c r="J19" s="256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2026-09-15T00:54:37Z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