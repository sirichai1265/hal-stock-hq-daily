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46301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298</v>
      </c>
      <c r="D4" s="207" t="n">
        <v>1</v>
      </c>
      <c r="E4" s="207" t="n">
        <v>216</v>
      </c>
      <c r="F4" s="207" t="n">
        <v>4</v>
      </c>
      <c r="G4" s="207" t="n">
        <v>13</v>
      </c>
      <c r="H4" s="207" t="n"/>
      <c r="I4" s="207" t="n"/>
      <c r="J4" s="207" t="n"/>
      <c r="K4" s="208" t="n"/>
      <c r="L4" s="209" t="n">
        <v>8</v>
      </c>
      <c r="M4" s="210" t="n"/>
      <c r="N4" s="210" t="n">
        <v>30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45</v>
      </c>
      <c r="Y4" s="207" t="n"/>
      <c r="Z4" s="207" t="n">
        <v>37</v>
      </c>
      <c r="AA4" s="207" t="n"/>
      <c r="AB4" s="207" t="n">
        <v>1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25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19</v>
      </c>
      <c r="D5" s="215" t="n"/>
      <c r="E5" s="215" t="n">
        <v>16</v>
      </c>
      <c r="F5" s="215" t="n">
        <v>2</v>
      </c>
      <c r="G5" s="215" t="n"/>
      <c r="H5" s="215" t="n"/>
      <c r="I5" s="215" t="n"/>
      <c r="J5" s="215" t="n"/>
      <c r="K5" s="216" t="n"/>
      <c r="L5" s="217" t="n">
        <v>51</v>
      </c>
      <c r="M5" s="215" t="n"/>
      <c r="N5" s="215" t="n">
        <v>8</v>
      </c>
      <c r="O5" s="215" t="n">
        <v>6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38</v>
      </c>
      <c r="Y5" s="215" t="n"/>
      <c r="Z5" s="215" t="n">
        <v>96</v>
      </c>
      <c r="AA5" s="215" t="n">
        <v>1</v>
      </c>
      <c r="AB5" s="215" t="n">
        <v>10</v>
      </c>
      <c r="AC5" s="215" t="n"/>
      <c r="AD5" s="215" t="n"/>
      <c r="AE5" s="215" t="n"/>
      <c r="AF5" s="216" t="n"/>
      <c r="AG5" s="217" t="n">
        <v>142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</v>
      </c>
      <c r="D6" s="215" t="n"/>
      <c r="E6" s="215" t="n">
        <v>2</v>
      </c>
      <c r="F6" s="215" t="n">
        <v>2</v>
      </c>
      <c r="G6" s="215" t="n">
        <v>1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5</v>
      </c>
      <c r="Y6" s="215" t="n"/>
      <c r="Z6" s="215" t="n">
        <v>6</v>
      </c>
      <c r="AA6" s="215" t="n"/>
      <c r="AB6" s="215" t="n">
        <v>15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3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57</v>
      </c>
      <c r="Y7" s="215" t="n"/>
      <c r="Z7" s="215" t="n">
        <v>92</v>
      </c>
      <c r="AA7" s="215" t="n"/>
      <c r="AB7" s="215" t="n"/>
      <c r="AC7" s="215" t="n"/>
      <c r="AD7" s="215" t="n"/>
      <c r="AE7" s="215" t="n"/>
      <c r="AF7" s="216" t="n"/>
      <c r="AG7" s="217" t="n">
        <v>92</v>
      </c>
      <c r="AH7" s="215" t="n"/>
      <c r="AI7" s="215" t="n">
        <v>2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712</v>
      </c>
      <c r="M8" s="223" t="n"/>
      <c r="N8" s="223" t="n">
        <v>844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876</v>
      </c>
      <c r="AH8" s="223" t="n"/>
      <c r="AI8" s="223" t="n">
        <v>268</v>
      </c>
      <c r="AJ8" s="223" t="n">
        <v>7</v>
      </c>
      <c r="AK8" s="223" t="n">
        <v>35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740</v>
      </c>
      <c r="M9" s="223" t="n">
        <v>4</v>
      </c>
      <c r="N9" s="223" t="n">
        <v>470</v>
      </c>
      <c r="O9" s="223" t="n">
        <v>29</v>
      </c>
      <c r="P9" s="223" t="n">
        <v>36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22</v>
      </c>
      <c r="AH9" s="223" t="n"/>
      <c r="AI9" s="223" t="n">
        <v>22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1039</v>
      </c>
      <c r="AH10" s="223" t="n">
        <v>2</v>
      </c>
      <c r="AI10" s="223" t="n">
        <v>824</v>
      </c>
      <c r="AJ10" s="223" t="n"/>
      <c r="AK10" s="223" t="n"/>
      <c r="AL10" s="223" t="n">
        <v>1</v>
      </c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70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06-11/10/2026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06-11/10/2026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6</v>
      </c>
      <c r="D31" s="207" t="n"/>
      <c r="E31" s="207" t="n">
        <v>27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5</v>
      </c>
      <c r="D32" s="215" t="n"/>
      <c r="E32" s="215" t="n">
        <v>2</v>
      </c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91</v>
      </c>
      <c r="D35" s="223" t="n"/>
      <c r="E35" s="223" t="n">
        <v>28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80</v>
      </c>
      <c r="Y35" s="223" t="n"/>
      <c r="Z35" s="223" t="n">
        <v>34</v>
      </c>
      <c r="AA35" s="223" t="n"/>
      <c r="AB35" s="223" t="n">
        <v>25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155</v>
      </c>
      <c r="D36" s="223" t="n"/>
      <c r="E36" s="223" t="n">
        <v>174</v>
      </c>
      <c r="F36" s="223" t="n">
        <v>2</v>
      </c>
      <c r="G36" s="223" t="n">
        <v>23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5</v>
      </c>
      <c r="Y36" s="223" t="n"/>
      <c r="Z36" s="223" t="n">
        <v>12</v>
      </c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275</v>
      </c>
      <c r="Y37" s="223" t="n"/>
      <c r="Z37" s="223" t="n">
        <v>135</v>
      </c>
      <c r="AA37" s="223" t="n"/>
      <c r="AB37" s="223" t="n"/>
      <c r="AC37" s="223" t="n"/>
      <c r="AD37" s="223" t="n"/>
      <c r="AE37" s="223" t="n">
        <v>1</v>
      </c>
      <c r="AF37" s="238" t="n">
        <v>1</v>
      </c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12-18/10/2026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12-18/10/2026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14</v>
      </c>
      <c r="D45" s="207" t="n"/>
      <c r="E45" s="207" t="n">
        <v>29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7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>
        <v>1</v>
      </c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50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56</v>
      </c>
      <c r="D49" s="223" t="n"/>
      <c r="E49" s="223" t="n">
        <v>22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63</v>
      </c>
      <c r="Y49" s="223" t="n"/>
      <c r="Z49" s="223" t="n">
        <v>55</v>
      </c>
      <c r="AA49" s="223" t="n">
        <v>3</v>
      </c>
      <c r="AB49" s="223" t="n">
        <v>27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51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216</v>
      </c>
      <c r="D50" s="223" t="n"/>
      <c r="E50" s="223" t="n">
        <v>150</v>
      </c>
      <c r="F50" s="223" t="n">
        <v>2</v>
      </c>
      <c r="G50" s="223" t="n">
        <v>14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51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/>
      <c r="Y50" s="223" t="n"/>
      <c r="Z50" s="223" t="n"/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267</v>
      </c>
      <c r="Y51" s="223" t="n"/>
      <c r="Z51" s="223" t="n">
        <v>222</v>
      </c>
      <c r="AA51" s="223" t="n"/>
      <c r="AB51" s="223" t="n"/>
      <c r="AC51" s="223" t="n">
        <v>1</v>
      </c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4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3</v>
      </c>
      <c r="C4" s="123" t="n"/>
      <c r="D4" s="123" t="n">
        <v>1</v>
      </c>
      <c r="E4" s="118" t="n"/>
      <c r="F4" s="122" t="n">
        <v>2025</v>
      </c>
      <c r="G4" s="123" t="n">
        <v>9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>
        <v>2</v>
      </c>
      <c r="H5" s="125" t="n"/>
      <c r="I5" s="125" t="n"/>
    </row>
    <row r="6" ht="16.15" customHeight="1">
      <c r="A6" s="124" t="n">
        <v>2021</v>
      </c>
      <c r="B6" s="125" t="n">
        <v>7</v>
      </c>
      <c r="C6" s="125" t="n"/>
      <c r="D6" s="125" t="n"/>
      <c r="F6" s="124" t="n">
        <v>2021</v>
      </c>
      <c r="G6" s="125" t="n">
        <v>3</v>
      </c>
      <c r="H6" s="125" t="n"/>
      <c r="I6" s="125" t="n"/>
    </row>
    <row r="7" ht="16.15" customHeight="1">
      <c r="A7" s="124" t="n">
        <v>2020</v>
      </c>
      <c r="B7" s="125" t="n">
        <v>4</v>
      </c>
      <c r="C7" s="125" t="n"/>
      <c r="D7" s="125" t="n"/>
      <c r="F7" s="124" t="n">
        <v>2020</v>
      </c>
      <c r="G7" s="125" t="n">
        <v>9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2">
        <f>Daily!L14</f>
        <v/>
      </c>
      <c r="D4" s="252">
        <f>Daily!M14</f>
        <v/>
      </c>
      <c r="E4" s="252">
        <f>Daily!N14</f>
        <v/>
      </c>
      <c r="F4" s="252">
        <f>Daily!O14</f>
        <v/>
      </c>
      <c r="G4" s="252">
        <f>Daily!P14</f>
        <v/>
      </c>
      <c r="H4" s="252">
        <f>Daily!Q14</f>
        <v/>
      </c>
      <c r="I4" s="252">
        <f>Daily!R14</f>
        <v/>
      </c>
      <c r="J4" s="252">
        <f>Daily!S14</f>
        <v/>
      </c>
      <c r="K4" s="252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3">
        <f>Daily!C15</f>
        <v/>
      </c>
      <c r="D7" s="253">
        <f>Daily!D15</f>
        <v/>
      </c>
      <c r="E7" s="253">
        <f>Daily!E15</f>
        <v/>
      </c>
      <c r="F7" s="253">
        <f>Daily!F15</f>
        <v/>
      </c>
      <c r="G7" s="253">
        <f>Daily!G15</f>
        <v/>
      </c>
      <c r="H7" s="253">
        <f>Daily!H15</f>
        <v/>
      </c>
      <c r="I7" s="253">
        <f>Daily!I15</f>
        <v/>
      </c>
      <c r="J7" s="253">
        <f>Daily!J15</f>
        <v/>
      </c>
      <c r="K7" s="253">
        <f>Daily!K15</f>
        <v/>
      </c>
    </row>
    <row r="8" ht="15.6" customHeight="1" thickBot="1">
      <c r="B8" s="100" t="inlineStr">
        <is>
          <t>Booking(This week)</t>
        </is>
      </c>
      <c r="C8" s="252">
        <f>Daily!C41</f>
        <v/>
      </c>
      <c r="D8" s="252">
        <f>Daily!D41</f>
        <v/>
      </c>
      <c r="E8" s="252">
        <f>Daily!E41</f>
        <v/>
      </c>
      <c r="F8" s="252">
        <f>Daily!F41</f>
        <v/>
      </c>
      <c r="G8" s="252">
        <f>Daily!G41</f>
        <v/>
      </c>
      <c r="H8" s="252">
        <f>Daily!H41</f>
        <v/>
      </c>
      <c r="I8" s="252">
        <f>Daily!I41</f>
        <v/>
      </c>
      <c r="J8" s="252">
        <f>Daily!J41</f>
        <v/>
      </c>
      <c r="K8" s="252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4">
        <f>Daily!C55</f>
        <v/>
      </c>
      <c r="D9" s="254">
        <f>Daily!D55</f>
        <v/>
      </c>
      <c r="E9" s="254">
        <f>Daily!E55</f>
        <v/>
      </c>
      <c r="F9" s="254">
        <f>Daily!F55</f>
        <v/>
      </c>
      <c r="G9" s="254">
        <f>Daily!G55</f>
        <v/>
      </c>
      <c r="H9" s="254">
        <f>Daily!H55</f>
        <v/>
      </c>
      <c r="I9" s="254">
        <f>Daily!I55</f>
        <v/>
      </c>
      <c r="J9" s="254">
        <f>Daily!J55</f>
        <v/>
      </c>
      <c r="K9" s="254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5">
        <f>SUM(C3+C4+C5+C6+C7-C8-C9)</f>
        <v/>
      </c>
      <c r="D10" s="255">
        <f>SUM(D3+D4+D5+D6+D7-D8-D9)</f>
        <v/>
      </c>
      <c r="E10" s="255">
        <f>SUM(E3+E4+E5+E6+E7-E8-E9)</f>
        <v/>
      </c>
      <c r="F10" s="255">
        <f>SUM(F3+F4+F5+F6+F7-F8-F9)</f>
        <v/>
      </c>
      <c r="G10" s="255">
        <f>SUM(G3+G4+G5+G6+G7-G8-G9)</f>
        <v/>
      </c>
      <c r="H10" s="256">
        <f>SUM(H3+H4+H5+H6+H7-H8-H9)</f>
        <v/>
      </c>
      <c r="I10" s="256">
        <f>SUM(I3+I4+I5+I6+I7-I8-I9)</f>
        <v/>
      </c>
      <c r="J10" s="256">
        <f>SUM(J3+J4+J5+J6+J7-J8-J9)</f>
        <v/>
      </c>
      <c r="K10" s="256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2">
        <f>Daily!AG14</f>
        <v/>
      </c>
      <c r="D15" s="252">
        <f>Daily!AH14</f>
        <v/>
      </c>
      <c r="E15" s="252">
        <f>Daily!AI14</f>
        <v/>
      </c>
      <c r="F15" s="252">
        <f>Daily!AJ14</f>
        <v/>
      </c>
      <c r="G15" s="252">
        <f>Daily!AK14</f>
        <v/>
      </c>
      <c r="H15" s="252">
        <f>Daily!AL14</f>
        <v/>
      </c>
      <c r="I15" s="252">
        <f>Daily!AM14</f>
        <v/>
      </c>
      <c r="J15" s="252">
        <f>Daily!AN14</f>
        <v/>
      </c>
      <c r="K15" s="252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3">
        <f>Daily!X15</f>
        <v/>
      </c>
      <c r="D18" s="253">
        <f>Daily!Y15</f>
        <v/>
      </c>
      <c r="E18" s="253">
        <f>Daily!Z15</f>
        <v/>
      </c>
      <c r="F18" s="253">
        <f>Daily!AA15</f>
        <v/>
      </c>
      <c r="G18" s="253">
        <f>Daily!AB15</f>
        <v/>
      </c>
      <c r="H18" s="253">
        <f>Daily!AC15</f>
        <v/>
      </c>
      <c r="I18" s="253">
        <f>Daily!AD15</f>
        <v/>
      </c>
      <c r="J18" s="253">
        <f>Daily!AE15</f>
        <v/>
      </c>
      <c r="K18" s="253">
        <f>Daily!AF15</f>
        <v/>
      </c>
    </row>
    <row r="19" ht="15.6" customHeight="1" thickBot="1">
      <c r="B19" s="112" t="inlineStr">
        <is>
          <t>Booking(This week)</t>
        </is>
      </c>
      <c r="C19" s="254">
        <f>Daily!X41</f>
        <v/>
      </c>
      <c r="D19" s="254">
        <f>Daily!Y41</f>
        <v/>
      </c>
      <c r="E19" s="254">
        <f>Daily!Z41</f>
        <v/>
      </c>
      <c r="F19" s="254">
        <f>Daily!AA41</f>
        <v/>
      </c>
      <c r="G19" s="254">
        <f>Daily!AB41</f>
        <v/>
      </c>
      <c r="H19" s="254">
        <f>Daily!AC41</f>
        <v/>
      </c>
      <c r="I19" s="257">
        <f>Daily!AD41</f>
        <v/>
      </c>
      <c r="J19" s="257">
        <f>Daily!AE41</f>
        <v/>
      </c>
      <c r="K19" s="254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4">
        <f>Daily!X55</f>
        <v/>
      </c>
      <c r="D20" s="254">
        <f>Daily!Y55</f>
        <v/>
      </c>
      <c r="E20" s="254">
        <f>Daily!Z55</f>
        <v/>
      </c>
      <c r="F20" s="254">
        <f>Daily!AA55</f>
        <v/>
      </c>
      <c r="G20" s="254">
        <f>Daily!AB55</f>
        <v/>
      </c>
      <c r="H20" s="254">
        <f>Daily!AC55</f>
        <v/>
      </c>
      <c r="I20" s="254">
        <f>Daily!AD55</f>
        <v/>
      </c>
      <c r="J20" s="254">
        <f>Daily!AE55</f>
        <v/>
      </c>
      <c r="K20" s="254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5">
        <f>SUM(C14+C15+C16+C17+C18-C19-C20)</f>
        <v/>
      </c>
      <c r="D21" s="255">
        <f>SUM(D14+D15+D16+D17+D18-D19-D20)</f>
        <v/>
      </c>
      <c r="E21" s="255">
        <f>SUM(E14+E15+E16+E17+E18-E19-E20)</f>
        <v/>
      </c>
      <c r="F21" s="255">
        <f>SUM(F14+F15+F16+F17+F18-F19-F20)</f>
        <v/>
      </c>
      <c r="G21" s="255">
        <f>SUM(G14+G15+G16+G17+G18-G19-G20)</f>
        <v/>
      </c>
      <c r="H21" s="256">
        <f>SUM(H14+H15+H16+H17+H18-H19-H20)</f>
        <v/>
      </c>
      <c r="I21" s="255">
        <f>SUM(I14+I15+I16+I17+I18-I19-I20)</f>
        <v/>
      </c>
      <c r="J21" s="255">
        <f>SUM(J14+J15+J16+J17+J18-J19-J20)</f>
        <v/>
      </c>
      <c r="K21" s="256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2026-10-06T01:35:27Z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