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RF SEASONAL" sheetId="2" state="visible" r:id="rId2"/>
    <sheet xmlns:r="http://schemas.openxmlformats.org/officeDocument/2006/relationships" name="NEW FORMA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d\-mmm\-yyyy;@"/>
    <numFmt numFmtId="165" formatCode="0;-0;;@"/>
    <numFmt numFmtId="166" formatCode="d/m/yyyy"/>
  </numFmts>
  <fonts count="27">
    <font>
      <name val="Tahoma"/>
      <family val="2"/>
      <color theme="1"/>
      <sz val="11"/>
      <scheme val="minor"/>
    </font>
    <font>
      <name val="Calibri"/>
      <charset val="129"/>
      <family val="3"/>
      <sz val="8"/>
    </font>
    <font>
      <name val="Arial"/>
      <family val="2"/>
      <sz val="10"/>
    </font>
    <font>
      <name val="Aptos"/>
      <family val="2"/>
      <b val="1"/>
      <color theme="1"/>
      <sz val="10"/>
    </font>
    <font>
      <name val="Aptos"/>
      <family val="2"/>
      <color theme="1"/>
      <sz val="10"/>
    </font>
    <font>
      <name val="Aptos"/>
      <family val="2"/>
      <b val="1"/>
      <sz val="10"/>
    </font>
    <font>
      <name val="Aptos"/>
      <family val="2"/>
      <b val="1"/>
      <color rgb="FF0000FF"/>
      <sz val="10"/>
    </font>
    <font>
      <name val="Aptos"/>
      <family val="2"/>
      <sz val="10"/>
    </font>
    <font>
      <name val="Aptos"/>
      <family val="2"/>
      <color rgb="FF0000FF"/>
      <sz val="10"/>
    </font>
    <font>
      <name val="Aptos"/>
      <family val="2"/>
      <color rgb="FFFF0000"/>
      <sz val="10"/>
    </font>
    <font>
      <name val="Aptos"/>
      <family val="2"/>
      <color indexed="8"/>
      <sz val="10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rgb="FF0000FF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family val="2"/>
      <b val="1"/>
      <sz val="11"/>
      <u val="single"/>
    </font>
    <font>
      <name val="Aptos"/>
      <family val="2"/>
      <b val="1"/>
      <color theme="8" tint="-0.499984740745262"/>
      <sz val="14"/>
    </font>
    <font>
      <name val="Aptos"/>
      <color rgb="FF000000"/>
      <sz val="10"/>
    </font>
    <font>
      <name val="Aptos"/>
      <b val="1"/>
      <color rgb="FF000000"/>
      <sz val="10"/>
    </font>
    <font>
      <name val="Aptos"/>
      <color rgb="FF0000FF"/>
      <sz val="10"/>
    </font>
    <font>
      <name val="Aptos"/>
      <b val="1"/>
      <color rgb="FF0000FF"/>
      <sz val="10"/>
    </font>
    <font>
      <name val="Calibri"/>
      <b val="1"/>
      <color rgb="FF0000FF"/>
      <sz val="11"/>
    </font>
    <font>
      <name val="Calibri"/>
      <b val="1"/>
      <color rgb="FFFF0000"/>
      <sz val="11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FFC7CE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medium">
        <color indexed="64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/>
      <top style="thin">
        <color theme="0" tint="-0.3499862666707358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/>
      <right/>
      <top style="medium">
        <color indexed="64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medium">
        <color indexed="64"/>
      </top>
      <bottom style="thin">
        <color theme="0" tint="-0.3499862666707358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 style="thin">
        <color theme="0" tint="-0.349986266670735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3499862666707358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57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7" fillId="2" borderId="16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8" fillId="0" borderId="4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7" fillId="2" borderId="11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4" fillId="3" borderId="18" applyAlignment="1" pivotButton="0" quotePrefix="0" xfId="0">
      <alignment vertical="center"/>
    </xf>
    <xf numFmtId="0" fontId="4" fillId="0" borderId="11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2" borderId="19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8" fillId="4" borderId="8" applyAlignment="1" pivotButton="0" quotePrefix="0" xfId="0">
      <alignment horizontal="center" vertical="center"/>
    </xf>
    <xf numFmtId="0" fontId="8" fillId="4" borderId="10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4" fillId="2" borderId="35" applyAlignment="1" pivotButton="0" quotePrefix="0" xfId="0">
      <alignment horizontal="center" vertical="center"/>
    </xf>
    <xf numFmtId="0" fontId="4" fillId="2" borderId="36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9" fillId="0" borderId="9" applyAlignment="1" pivotButton="0" quotePrefix="0" xfId="0">
      <alignment horizontal="center" vertical="center"/>
    </xf>
    <xf numFmtId="0" fontId="8" fillId="2" borderId="11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14" fillId="5" borderId="21" applyAlignment="1" pivotButton="0" quotePrefix="0" xfId="0">
      <alignment horizontal="center" vertical="center"/>
    </xf>
    <xf numFmtId="0" fontId="14" fillId="5" borderId="22" applyAlignment="1" pivotButton="0" quotePrefix="0" xfId="0">
      <alignment horizontal="center" vertical="center"/>
    </xf>
    <xf numFmtId="0" fontId="13" fillId="5" borderId="22" applyAlignment="1" pivotButton="0" quotePrefix="0" xfId="0">
      <alignment horizontal="center" vertical="center"/>
    </xf>
    <xf numFmtId="0" fontId="14" fillId="0" borderId="21" applyAlignment="1" pivotButton="0" quotePrefix="0" xfId="0">
      <alignment horizontal="center" vertical="center"/>
    </xf>
    <xf numFmtId="0" fontId="14" fillId="0" borderId="22" applyAlignment="1" pivotButton="0" quotePrefix="0" xfId="0">
      <alignment horizontal="center" vertical="center"/>
    </xf>
    <xf numFmtId="0" fontId="14" fillId="7" borderId="21" applyAlignment="1" pivotButton="0" quotePrefix="0" xfId="0">
      <alignment horizontal="center" vertical="center"/>
    </xf>
    <xf numFmtId="0" fontId="14" fillId="7" borderId="22" applyAlignment="1" pivotButton="0" quotePrefix="0" xfId="0">
      <alignment horizontal="center" vertical="center"/>
    </xf>
    <xf numFmtId="0" fontId="14" fillId="9" borderId="21" applyAlignment="1" pivotButton="0" quotePrefix="0" xfId="0">
      <alignment horizontal="center" vertical="center"/>
    </xf>
    <xf numFmtId="0" fontId="14" fillId="9" borderId="22" applyAlignment="1" pivotButton="0" quotePrefix="0" xfId="0">
      <alignment horizontal="center" vertical="center"/>
    </xf>
    <xf numFmtId="0" fontId="12" fillId="0" borderId="22" applyAlignment="1" pivotButton="0" quotePrefix="0" xfId="0">
      <alignment horizontal="center" vertical="center"/>
    </xf>
    <xf numFmtId="14" fontId="12" fillId="0" borderId="0" applyAlignment="1" pivotButton="0" quotePrefix="0" xfId="0">
      <alignment horizontal="left" vertical="center"/>
    </xf>
    <xf numFmtId="0" fontId="11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6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13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8" fillId="6" borderId="6" applyAlignment="1" pivotButton="0" quotePrefix="0" xfId="0">
      <alignment horizontal="center" vertical="center"/>
    </xf>
    <xf numFmtId="0" fontId="13" fillId="6" borderId="46" applyAlignment="1" pivotButton="0" quotePrefix="0" xfId="0">
      <alignment horizontal="center" vertical="center"/>
    </xf>
    <xf numFmtId="0" fontId="18" fillId="0" borderId="0" pivotButton="0" quotePrefix="0" xfId="0"/>
    <xf numFmtId="0" fontId="13" fillId="6" borderId="0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8" borderId="6" applyAlignment="1" pivotButton="0" quotePrefix="0" xfId="0">
      <alignment horizontal="center" vertical="center" wrapText="1"/>
    </xf>
    <xf numFmtId="0" fontId="12" fillId="8" borderId="6" applyAlignment="1" pivotButton="0" quotePrefix="0" xfId="0">
      <alignment horizontal="center" vertical="center"/>
    </xf>
    <xf numFmtId="1" fontId="12" fillId="8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1" fontId="12" fillId="0" borderId="6" applyAlignment="1" pivotButton="0" quotePrefix="0" xfId="0">
      <alignment horizontal="center" vertical="center"/>
    </xf>
    <xf numFmtId="0" fontId="19" fillId="6" borderId="45" applyAlignment="1" pivotButton="0" quotePrefix="0" xfId="0">
      <alignment horizontal="center" vertical="center"/>
    </xf>
    <xf numFmtId="1" fontId="11" fillId="6" borderId="45" applyAlignment="1" pivotButton="0" quotePrefix="0" xfId="0">
      <alignment horizontal="center" vertical="center"/>
    </xf>
    <xf numFmtId="0" fontId="12" fillId="6" borderId="47" pivotButton="0" quotePrefix="0" xfId="0"/>
    <xf numFmtId="1" fontId="13" fillId="0" borderId="0" pivotButton="0" quotePrefix="0" xfId="0"/>
    <xf numFmtId="0" fontId="3" fillId="0" borderId="49" applyAlignment="1" pivotButton="0" quotePrefix="0" xfId="0">
      <alignment vertical="center"/>
    </xf>
    <xf numFmtId="0" fontId="3" fillId="0" borderId="49" applyAlignment="1" pivotButton="0" quotePrefix="0" xfId="0">
      <alignment horizontal="center" vertical="center"/>
    </xf>
    <xf numFmtId="0" fontId="3" fillId="0" borderId="49" applyAlignment="1" pivotButton="0" quotePrefix="0" xfId="0">
      <alignment horizontal="left" vertical="center"/>
    </xf>
    <xf numFmtId="0" fontId="3" fillId="0" borderId="48" applyAlignment="1" pivotButton="0" quotePrefix="0" xfId="0">
      <alignment horizontal="center" vertical="center"/>
    </xf>
    <xf numFmtId="0" fontId="20" fillId="0" borderId="48" applyAlignment="1" pivotButton="0" quotePrefix="0" xfId="0">
      <alignment horizontal="left" vertical="center"/>
    </xf>
    <xf numFmtId="0" fontId="3" fillId="0" borderId="50" applyAlignment="1" pivotButton="0" quotePrefix="0" xfId="0">
      <alignment horizontal="center" vertical="center"/>
    </xf>
    <xf numFmtId="0" fontId="7" fillId="7" borderId="12" applyAlignment="1" pivotButton="0" quotePrefix="0" xfId="0">
      <alignment horizontal="center" vertical="center"/>
    </xf>
    <xf numFmtId="0" fontId="7" fillId="7" borderId="18" applyAlignment="1" pivotButton="0" quotePrefix="0" xfId="0">
      <alignment horizontal="center" vertical="center"/>
    </xf>
    <xf numFmtId="0" fontId="3" fillId="2" borderId="23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14" fontId="5" fillId="0" borderId="30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6" fillId="2" borderId="24" applyAlignment="1" pivotButton="0" quotePrefix="0" xfId="0">
      <alignment horizontal="center" vertical="center"/>
    </xf>
    <xf numFmtId="0" fontId="6" fillId="2" borderId="25" applyAlignment="1" pivotButton="0" quotePrefix="0" xfId="0">
      <alignment horizontal="center" vertical="center"/>
    </xf>
    <xf numFmtId="0" fontId="6" fillId="2" borderId="26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43" applyAlignment="1" pivotButton="0" quotePrefix="0" xfId="0">
      <alignment horizontal="center" vertical="center"/>
    </xf>
    <xf numFmtId="0" fontId="3" fillId="2" borderId="28" applyAlignment="1" pivotButton="0" quotePrefix="0" xfId="0">
      <alignment horizontal="center" vertical="center"/>
    </xf>
    <xf numFmtId="0" fontId="3" fillId="2" borderId="29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/>
    </xf>
    <xf numFmtId="14" fontId="6" fillId="0" borderId="30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2" borderId="44" applyAlignment="1" pivotButton="0" quotePrefix="0" xfId="0">
      <alignment horizontal="center" vertical="center"/>
    </xf>
    <xf numFmtId="0" fontId="6" fillId="2" borderId="28" applyAlignment="1" pivotButton="0" quotePrefix="0" xfId="0">
      <alignment horizontal="center" vertical="center"/>
    </xf>
    <xf numFmtId="0" fontId="6" fillId="2" borderId="29" applyAlignment="1" pivotButton="0" quotePrefix="0" xfId="0">
      <alignment horizontal="center" vertical="center"/>
    </xf>
    <xf numFmtId="0" fontId="5" fillId="2" borderId="29" applyAlignment="1" pivotButton="0" quotePrefix="0" xfId="0">
      <alignment horizontal="center" vertical="center"/>
    </xf>
    <xf numFmtId="0" fontId="5" fillId="2" borderId="25" applyAlignment="1" pivotButton="0" quotePrefix="0" xfId="0">
      <alignment horizontal="center" vertical="center"/>
    </xf>
    <xf numFmtId="0" fontId="5" fillId="2" borderId="30" applyAlignment="1" pivotButton="0" quotePrefix="0" xfId="0">
      <alignment horizontal="center" vertical="center"/>
    </xf>
    <xf numFmtId="164" fontId="3" fillId="0" borderId="49" applyAlignment="1" pivotButton="0" quotePrefix="1" xfId="0">
      <alignment horizontal="center" vertical="center"/>
    </xf>
    <xf numFmtId="164" fontId="3" fillId="0" borderId="49" applyAlignment="1" pivotButton="0" quotePrefix="0" xfId="0">
      <alignment horizontal="center" vertical="center"/>
    </xf>
    <xf numFmtId="164" fontId="3" fillId="0" borderId="50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3" fillId="0" borderId="49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8" fillId="6" borderId="6" applyAlignment="1" pivotButton="0" quotePrefix="0" xfId="0">
      <alignment horizontal="center" vertical="center"/>
    </xf>
    <xf numFmtId="0" fontId="18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/>
    </xf>
    <xf numFmtId="0" fontId="11" fillId="5" borderId="31" applyAlignment="1" pivotButton="0" quotePrefix="0" xfId="0">
      <alignment horizontal="center" vertical="center"/>
    </xf>
    <xf numFmtId="0" fontId="11" fillId="5" borderId="32" applyAlignment="1" pivotButton="0" quotePrefix="0" xfId="0">
      <alignment horizontal="center" vertical="center"/>
    </xf>
    <xf numFmtId="0" fontId="11" fillId="5" borderId="33" applyAlignment="1" pivotButton="0" quotePrefix="0" xfId="0">
      <alignment horizontal="center" vertical="center"/>
    </xf>
    <xf numFmtId="0" fontId="17" fillId="5" borderId="31" applyAlignment="1" pivotButton="0" quotePrefix="0" xfId="0">
      <alignment horizontal="center" vertical="center"/>
    </xf>
    <xf numFmtId="0" fontId="17" fillId="5" borderId="32" applyAlignment="1" pivotButton="0" quotePrefix="0" xfId="0">
      <alignment horizontal="center" vertical="center"/>
    </xf>
    <xf numFmtId="0" fontId="17" fillId="5" borderId="33" applyAlignment="1" pivotButton="0" quotePrefix="0" xfId="0">
      <alignment horizontal="center" vertical="center"/>
    </xf>
    <xf numFmtId="0" fontId="0" fillId="0" borderId="49" pivotButton="0" quotePrefix="0" xfId="0"/>
    <xf numFmtId="164" fontId="3" fillId="0" borderId="50" applyAlignment="1" pivotButton="0" quotePrefix="1" xfId="0">
      <alignment horizontal="center" vertical="center"/>
    </xf>
    <xf numFmtId="0" fontId="0" fillId="0" borderId="50" pivotButton="0" quotePrefix="0" xfId="0"/>
    <xf numFmtId="0" fontId="4" fillId="2" borderId="5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8" pivotButton="0" quotePrefix="0" xfId="0"/>
    <xf numFmtId="0" fontId="0" fillId="0" borderId="29" pivotButton="0" quotePrefix="0" xfId="0"/>
    <xf numFmtId="14" fontId="6" fillId="0" borderId="26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42" pivotButton="0" quotePrefix="0" xfId="0"/>
    <xf numFmtId="0" fontId="0" fillId="0" borderId="43" pivotButton="0" quotePrefix="0" xfId="0"/>
    <xf numFmtId="0" fontId="3" fillId="2" borderId="52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34" pivotButton="0" quotePrefix="0" xfId="0"/>
    <xf numFmtId="0" fontId="5" fillId="0" borderId="26" applyAlignment="1" pivotButton="0" quotePrefix="0" xfId="0">
      <alignment horizontal="center" vertical="center"/>
    </xf>
    <xf numFmtId="14" fontId="5" fillId="0" borderId="26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8" pivotButton="0" quotePrefix="0" xfId="0"/>
    <xf numFmtId="0" fontId="0" fillId="0" borderId="61" pivotButton="0" quotePrefix="0" xfId="0"/>
    <xf numFmtId="0" fontId="11" fillId="5" borderId="62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17" fillId="5" borderId="62" applyAlignment="1" pivotButton="0" quotePrefix="0" xfId="0">
      <alignment horizontal="center" vertical="center"/>
    </xf>
    <xf numFmtId="166" fontId="6" fillId="0" borderId="26" applyAlignment="1" pivotButton="0" quotePrefix="0" xfId="0">
      <alignment horizontal="center" vertical="center"/>
    </xf>
    <xf numFmtId="0" fontId="21" fillId="0" borderId="35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/>
    </xf>
    <xf numFmtId="0" fontId="21" fillId="0" borderId="34" applyAlignment="1" pivotButton="0" quotePrefix="0" xfId="0">
      <alignment horizontal="center" vertical="center"/>
    </xf>
    <xf numFmtId="0" fontId="21" fillId="0" borderId="41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3" fillId="2" borderId="11" applyAlignment="1" pivotButton="0" quotePrefix="0" xfId="0">
      <alignment horizontal="center" vertical="center"/>
    </xf>
    <xf numFmtId="0" fontId="23" fillId="2" borderId="8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23" fillId="0" borderId="12" applyAlignment="1" pivotButton="0" quotePrefix="0" xfId="0">
      <alignment horizontal="center" vertical="center"/>
    </xf>
    <xf numFmtId="0" fontId="23" fillId="0" borderId="8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165" fontId="21" fillId="0" borderId="34" applyAlignment="1" pivotButton="0" quotePrefix="0" xfId="0">
      <alignment horizontal="center" vertical="center"/>
    </xf>
    <xf numFmtId="165" fontId="21" fillId="0" borderId="36" applyAlignment="1" pivotButton="0" quotePrefix="0" xfId="0">
      <alignment horizontal="center" vertical="center"/>
    </xf>
    <xf numFmtId="165" fontId="21" fillId="0" borderId="41" applyAlignment="1" pivotButton="0" quotePrefix="0" xfId="0">
      <alignment horizontal="center" vertical="center"/>
    </xf>
    <xf numFmtId="0" fontId="21" fillId="2" borderId="35" applyAlignment="1" pivotButton="0" quotePrefix="0" xfId="0">
      <alignment horizontal="center" vertical="center"/>
    </xf>
    <xf numFmtId="0" fontId="21" fillId="2" borderId="36" applyAlignment="1" pivotButton="0" quotePrefix="0" xfId="0">
      <alignment horizontal="center" vertical="center"/>
    </xf>
    <xf numFmtId="0" fontId="21" fillId="2" borderId="37" applyAlignment="1" pivotButton="0" quotePrefix="0" xfId="0">
      <alignment horizontal="center" vertical="center"/>
    </xf>
    <xf numFmtId="165" fontId="21" fillId="0" borderId="12" applyAlignment="1" pivotButton="0" quotePrefix="0" xfId="0">
      <alignment horizontal="center" vertical="center"/>
    </xf>
    <xf numFmtId="165" fontId="21" fillId="0" borderId="8" applyAlignment="1" pivotButton="0" quotePrefix="0" xfId="0">
      <alignment horizontal="center" vertical="center"/>
    </xf>
    <xf numFmtId="165" fontId="21" fillId="0" borderId="10" applyAlignment="1" pivotButton="0" quotePrefix="0" xfId="0">
      <alignment horizontal="center" vertical="center"/>
    </xf>
    <xf numFmtId="0" fontId="21" fillId="2" borderId="11" applyAlignment="1" pivotButton="0" quotePrefix="0" xfId="0">
      <alignment horizontal="center" vertical="center"/>
    </xf>
    <xf numFmtId="0" fontId="21" fillId="2" borderId="8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165" fontId="22" fillId="10" borderId="12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23" fillId="0" borderId="9" applyAlignment="1" pivotButton="0" quotePrefix="0" xfId="0">
      <alignment horizontal="center" vertical="center"/>
    </xf>
    <xf numFmtId="165" fontId="23" fillId="0" borderId="12" applyAlignment="1" pivotButton="0" quotePrefix="0" xfId="0">
      <alignment horizontal="center" vertical="center"/>
    </xf>
    <xf numFmtId="165" fontId="23" fillId="0" borderId="8" applyAlignment="1" pivotButton="0" quotePrefix="0" xfId="0">
      <alignment horizontal="center" vertical="center"/>
    </xf>
    <xf numFmtId="165" fontId="23" fillId="0" borderId="10" applyAlignment="1" pivotButton="0" quotePrefix="0" xfId="0">
      <alignment horizontal="center" vertical="center"/>
    </xf>
    <xf numFmtId="165" fontId="8" fillId="0" borderId="12" applyAlignment="1" pivotButton="0" quotePrefix="0" xfId="0">
      <alignment horizontal="center" vertical="center"/>
    </xf>
    <xf numFmtId="165" fontId="8" fillId="0" borderId="8" applyAlignment="1" pivotButton="0" quotePrefix="0" xfId="0">
      <alignment horizontal="center" vertical="center"/>
    </xf>
    <xf numFmtId="165" fontId="8" fillId="0" borderId="10" applyAlignment="1" pivotButton="0" quotePrefix="0" xfId="0">
      <alignment horizontal="center" vertical="center"/>
    </xf>
    <xf numFmtId="165" fontId="8" fillId="3" borderId="12" applyAlignment="1" pivotButton="0" quotePrefix="0" xfId="0">
      <alignment horizontal="center" vertical="center"/>
    </xf>
    <xf numFmtId="165" fontId="8" fillId="3" borderId="8" applyAlignment="1" pivotButton="0" quotePrefix="0" xfId="0">
      <alignment horizontal="center" vertical="center"/>
    </xf>
    <xf numFmtId="165" fontId="8" fillId="3" borderId="10" applyAlignment="1" pivotButton="0" quotePrefix="0" xfId="0">
      <alignment horizontal="center" vertical="center"/>
    </xf>
    <xf numFmtId="165" fontId="22" fillId="10" borderId="36" applyAlignment="1" pivotButton="0" quotePrefix="0" xfId="0">
      <alignment horizontal="center" vertical="center"/>
    </xf>
    <xf numFmtId="165" fontId="24" fillId="10" borderId="8" applyAlignment="1" pivotButton="0" quotePrefix="0" xfId="0">
      <alignment horizontal="center" vertical="center"/>
    </xf>
    <xf numFmtId="165" fontId="14" fillId="0" borderId="22" applyAlignment="1" pivotButton="0" quotePrefix="0" xfId="0">
      <alignment horizontal="center" vertical="center"/>
    </xf>
    <xf numFmtId="165" fontId="14" fillId="9" borderId="22" applyAlignment="1" pivotButton="0" quotePrefix="0" xfId="0">
      <alignment horizontal="center" vertical="center"/>
    </xf>
    <xf numFmtId="165" fontId="12" fillId="0" borderId="22" applyAlignment="1" pivotButton="0" quotePrefix="0" xfId="0">
      <alignment horizontal="center" vertical="center"/>
    </xf>
    <xf numFmtId="0" fontId="25" fillId="0" borderId="22" applyAlignment="1" pivotButton="0" quotePrefix="0" xfId="0">
      <alignment horizontal="center" vertical="center"/>
    </xf>
    <xf numFmtId="0" fontId="26" fillId="0" borderId="22" applyAlignment="1" pivotButton="0" quotePrefix="0" xfId="0">
      <alignment horizontal="center" vertical="center"/>
    </xf>
    <xf numFmtId="165" fontId="13" fillId="0" borderId="22" applyAlignment="1" pivotButton="0" quotePrefix="0" xfId="0">
      <alignment horizontal="center" vertical="center"/>
    </xf>
  </cellXfs>
  <cellStyles count="3">
    <cellStyle name="Normal" xfId="0" builtinId="0"/>
    <cellStyle name="Normal 2" xfId="1"/>
    <cellStyle name="Normal 3" xfId="2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197381</colOff>
      <row>0</row>
      <rowOff>7864</rowOff>
    </from>
    <to>
      <col>18</col>
      <colOff>41539</colOff>
      <row>0</row>
      <rowOff>590347</rowOff>
    </to>
    <pic>
      <nvPicPr>
        <cNvPr id="3" name="Picture 2" descr="cid:image001.jpg@01D9A2D1.F406A100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83381" y="7864"/>
          <a:ext cx="4564325" cy="5824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AS60"/>
  <sheetViews>
    <sheetView tabSelected="1" zoomScale="90" zoomScaleNormal="90" workbookViewId="0">
      <selection activeCell="I29" sqref="I29:K29"/>
    </sheetView>
  </sheetViews>
  <sheetFormatPr baseColWidth="8" defaultColWidth="8.875" defaultRowHeight="16.9" customHeight="1"/>
  <cols>
    <col width="10.75" customWidth="1" style="3" min="1" max="2"/>
    <col width="4.25" customWidth="1" style="3" min="3" max="11"/>
    <col width="5.125" bestFit="1" customWidth="1" style="3" min="12" max="12"/>
    <col width="4.25" customWidth="1" style="3" min="13" max="13"/>
    <col width="5.125" bestFit="1" customWidth="1" style="3" min="14" max="14"/>
    <col width="4.25" customWidth="1" style="3" min="15" max="20"/>
    <col hidden="1" width="3" customWidth="1" style="3" min="21" max="21"/>
    <col width="10.75" customWidth="1" style="3" min="22" max="23"/>
    <col width="4.25" customWidth="1" style="3" min="24" max="32"/>
    <col width="5.125" bestFit="1" customWidth="1" style="3" min="33" max="33"/>
    <col width="4.25" customWidth="1" style="3" min="34" max="41"/>
    <col width="8.875" customWidth="1" style="3" min="42" max="42"/>
    <col width="10.125" customWidth="1" style="3" min="43" max="43"/>
    <col width="8.875" customWidth="1" style="3" min="44" max="16384"/>
  </cols>
  <sheetData>
    <row r="1" ht="54.95" customFormat="1" customHeight="1" s="1" thickBot="1">
      <c r="A1" s="134" t="inlineStr">
        <is>
          <t>DAILY CONTAINER STOCK</t>
        </is>
      </c>
      <c r="B1" s="130" t="n"/>
      <c r="C1" s="169" t="n"/>
      <c r="D1" s="135" t="n"/>
      <c r="E1" s="168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169" t="n"/>
      <c r="Q1" s="169" t="n"/>
      <c r="R1" s="169" t="n"/>
      <c r="S1" s="135" t="n"/>
      <c r="T1" s="169" t="n"/>
      <c r="U1" s="169" t="n"/>
      <c r="V1" s="132" t="n"/>
      <c r="W1" s="132" t="n"/>
      <c r="X1" s="169" t="n"/>
      <c r="Y1" s="169" t="n"/>
      <c r="Z1" s="169" t="n"/>
      <c r="AA1" s="169" t="n"/>
      <c r="AB1" s="169" t="n"/>
      <c r="AC1" s="169" t="n"/>
      <c r="AD1" s="169" t="n"/>
      <c r="AE1" s="169" t="n"/>
      <c r="AF1" s="169" t="n"/>
      <c r="AG1" s="169" t="n"/>
      <c r="AH1" s="169" t="n"/>
      <c r="AI1" s="169" t="n"/>
      <c r="AJ1" s="168" t="inlineStr">
        <is>
          <t>DATE:</t>
        </is>
      </c>
      <c r="AK1" s="182" t="n"/>
      <c r="AL1" s="183" t="n">
        <v>46310</v>
      </c>
      <c r="AM1" s="182" t="n"/>
      <c r="AN1" s="182" t="n"/>
      <c r="AO1" s="184" t="n"/>
    </row>
    <row r="2" ht="15" customHeight="1">
      <c r="A2" s="185" t="inlineStr">
        <is>
          <t>LOCATION</t>
        </is>
      </c>
      <c r="B2" s="186" t="n"/>
      <c r="C2" s="162" t="inlineStr">
        <is>
          <t>FULL INBOUND (BKK)</t>
        </is>
      </c>
      <c r="D2" s="187" t="n"/>
      <c r="E2" s="187" t="n"/>
      <c r="F2" s="187" t="n"/>
      <c r="G2" s="187" t="n"/>
      <c r="H2" s="187" t="n"/>
      <c r="I2" s="187" t="n"/>
      <c r="J2" s="187" t="n"/>
      <c r="K2" s="188" t="n"/>
      <c r="L2" s="143" t="inlineStr">
        <is>
          <t>CURRENT STOCK (BKK)</t>
        </is>
      </c>
      <c r="M2" s="187" t="n"/>
      <c r="N2" s="187" t="n"/>
      <c r="O2" s="187" t="n"/>
      <c r="P2" s="187" t="n"/>
      <c r="Q2" s="188" t="n"/>
      <c r="R2" s="205">
        <f>AL1</f>
        <v/>
      </c>
      <c r="S2" s="187" t="n"/>
      <c r="T2" s="190" t="n"/>
      <c r="U2" s="2" t="n"/>
      <c r="V2" s="185" t="inlineStr">
        <is>
          <t>LOCATION</t>
        </is>
      </c>
      <c r="W2" s="186" t="n"/>
      <c r="X2" s="162" t="inlineStr">
        <is>
          <t>FULL INBOUND (LCH)</t>
        </is>
      </c>
      <c r="Y2" s="187" t="n"/>
      <c r="Z2" s="187" t="n"/>
      <c r="AA2" s="187" t="n"/>
      <c r="AB2" s="187" t="n"/>
      <c r="AC2" s="187" t="n"/>
      <c r="AD2" s="187" t="n"/>
      <c r="AE2" s="187" t="n"/>
      <c r="AF2" s="188" t="n"/>
      <c r="AG2" s="143" t="inlineStr">
        <is>
          <t>CURRENT STOCK (LCH)</t>
        </is>
      </c>
      <c r="AH2" s="187" t="n"/>
      <c r="AI2" s="187" t="n"/>
      <c r="AJ2" s="187" t="n"/>
      <c r="AK2" s="187" t="n"/>
      <c r="AL2" s="188" t="n"/>
      <c r="AM2" s="205">
        <f>R2</f>
        <v/>
      </c>
      <c r="AN2" s="187" t="n"/>
      <c r="AO2" s="190" t="n"/>
    </row>
    <row r="3" ht="15" customHeight="1" thickBot="1">
      <c r="A3" s="191" t="n"/>
      <c r="B3" s="192" t="n"/>
      <c r="C3" s="4" t="inlineStr">
        <is>
          <t>22GP</t>
        </is>
      </c>
      <c r="D3" s="5" t="inlineStr">
        <is>
          <t>42GP</t>
        </is>
      </c>
      <c r="E3" s="5" t="inlineStr">
        <is>
          <t>45GP</t>
        </is>
      </c>
      <c r="F3" s="5" t="inlineStr">
        <is>
          <t>22RE</t>
        </is>
      </c>
      <c r="G3" s="5" t="inlineStr">
        <is>
          <t>45RE</t>
        </is>
      </c>
      <c r="H3" s="5" t="inlineStr">
        <is>
          <t>22UT</t>
        </is>
      </c>
      <c r="I3" s="5" t="inlineStr">
        <is>
          <t>42UT</t>
        </is>
      </c>
      <c r="J3" s="5" t="inlineStr">
        <is>
          <t>22PC</t>
        </is>
      </c>
      <c r="K3" s="6" t="inlineStr">
        <is>
          <t>42PC</t>
        </is>
      </c>
      <c r="L3" s="7" t="inlineStr">
        <is>
          <t>22GP</t>
        </is>
      </c>
      <c r="M3" s="5" t="inlineStr">
        <is>
          <t>42GP</t>
        </is>
      </c>
      <c r="N3" s="5" t="inlineStr">
        <is>
          <t>45GP</t>
        </is>
      </c>
      <c r="O3" s="5" t="inlineStr">
        <is>
          <t>22RE</t>
        </is>
      </c>
      <c r="P3" s="5" t="inlineStr">
        <is>
          <t>45RE</t>
        </is>
      </c>
      <c r="Q3" s="5" t="inlineStr">
        <is>
          <t>22UT</t>
        </is>
      </c>
      <c r="R3" s="5" t="inlineStr">
        <is>
          <t>42UT</t>
        </is>
      </c>
      <c r="S3" s="5" t="inlineStr">
        <is>
          <t>22PC</t>
        </is>
      </c>
      <c r="T3" s="8" t="inlineStr">
        <is>
          <t>42PC</t>
        </is>
      </c>
      <c r="U3" s="9" t="n"/>
      <c r="V3" s="191" t="n"/>
      <c r="W3" s="192" t="n"/>
      <c r="X3" s="10" t="inlineStr">
        <is>
          <t>22GP</t>
        </is>
      </c>
      <c r="Y3" s="11" t="inlineStr">
        <is>
          <t>42GP</t>
        </is>
      </c>
      <c r="Z3" s="11" t="inlineStr">
        <is>
          <t>45GP</t>
        </is>
      </c>
      <c r="AA3" s="11" t="inlineStr">
        <is>
          <t>22RE</t>
        </is>
      </c>
      <c r="AB3" s="11" t="inlineStr">
        <is>
          <t>45RE</t>
        </is>
      </c>
      <c r="AC3" s="11" t="inlineStr">
        <is>
          <t>22UT</t>
        </is>
      </c>
      <c r="AD3" s="11" t="inlineStr">
        <is>
          <t>42UT</t>
        </is>
      </c>
      <c r="AE3" s="11" t="inlineStr">
        <is>
          <t>22PC</t>
        </is>
      </c>
      <c r="AF3" s="12" t="inlineStr">
        <is>
          <t>42PC</t>
        </is>
      </c>
      <c r="AG3" s="7" t="inlineStr">
        <is>
          <t>22GP</t>
        </is>
      </c>
      <c r="AH3" s="5" t="inlineStr">
        <is>
          <t>42GP</t>
        </is>
      </c>
      <c r="AI3" s="5" t="inlineStr">
        <is>
          <t>45GP</t>
        </is>
      </c>
      <c r="AJ3" s="5" t="inlineStr">
        <is>
          <t>22RE</t>
        </is>
      </c>
      <c r="AK3" s="5" t="inlineStr">
        <is>
          <t>45RE</t>
        </is>
      </c>
      <c r="AL3" s="5" t="inlineStr">
        <is>
          <t>22UT</t>
        </is>
      </c>
      <c r="AM3" s="5" t="inlineStr">
        <is>
          <t>42UT</t>
        </is>
      </c>
      <c r="AN3" s="5" t="inlineStr">
        <is>
          <t>22PC</t>
        </is>
      </c>
      <c r="AO3" s="8" t="inlineStr">
        <is>
          <t>42PC</t>
        </is>
      </c>
    </row>
    <row r="4" ht="15" customFormat="1" customHeight="1" s="19">
      <c r="A4" s="13" t="inlineStr">
        <is>
          <t>PAT</t>
        </is>
      </c>
      <c r="B4" s="14" t="inlineStr">
        <is>
          <t>TERMINAL</t>
        </is>
      </c>
      <c r="C4" s="206" t="n">
        <v>125</v>
      </c>
      <c r="D4" s="207" t="n"/>
      <c r="E4" s="207" t="n">
        <v>153</v>
      </c>
      <c r="F4" s="207" t="n">
        <v>6</v>
      </c>
      <c r="G4" s="207" t="n">
        <v>17</v>
      </c>
      <c r="H4" s="207" t="n"/>
      <c r="I4" s="207" t="n"/>
      <c r="J4" s="207" t="n"/>
      <c r="K4" s="208" t="n"/>
      <c r="L4" s="209" t="n">
        <v>63</v>
      </c>
      <c r="M4" s="210" t="n"/>
      <c r="N4" s="210" t="n">
        <v>39</v>
      </c>
      <c r="O4" s="210" t="n"/>
      <c r="P4" s="210" t="n"/>
      <c r="Q4" s="210" t="n"/>
      <c r="R4" s="210" t="n"/>
      <c r="S4" s="210" t="n"/>
      <c r="T4" s="211" t="n"/>
      <c r="V4" s="13" t="inlineStr">
        <is>
          <t>LCMT</t>
        </is>
      </c>
      <c r="W4" s="14" t="inlineStr">
        <is>
          <t>TERMINAL</t>
        </is>
      </c>
      <c r="X4" s="206" t="n">
        <v>110</v>
      </c>
      <c r="Y4" s="207" t="n"/>
      <c r="Z4" s="207" t="n">
        <v>145</v>
      </c>
      <c r="AA4" s="207" t="n"/>
      <c r="AB4" s="207" t="n">
        <v>9</v>
      </c>
      <c r="AC4" s="207" t="n"/>
      <c r="AD4" s="207" t="n"/>
      <c r="AE4" s="207" t="n"/>
      <c r="AF4" s="208" t="n"/>
      <c r="AG4" s="212" t="n">
        <v>8</v>
      </c>
      <c r="AH4" s="207" t="n"/>
      <c r="AI4" s="207" t="n">
        <v>4</v>
      </c>
      <c r="AJ4" s="207" t="n"/>
      <c r="AK4" s="207" t="n"/>
      <c r="AL4" s="207" t="n"/>
      <c r="AM4" s="207" t="n"/>
      <c r="AN4" s="207" t="n"/>
      <c r="AO4" s="213" t="n"/>
    </row>
    <row r="5" ht="15" customFormat="1" customHeight="1" s="19">
      <c r="A5" s="23" t="inlineStr">
        <is>
          <t>UNITHAI</t>
        </is>
      </c>
      <c r="B5" s="24" t="inlineStr">
        <is>
          <t>TERMINAL</t>
        </is>
      </c>
      <c r="C5" s="214" t="n">
        <v>58</v>
      </c>
      <c r="D5" s="215" t="n"/>
      <c r="E5" s="215" t="n">
        <v>55</v>
      </c>
      <c r="F5" s="215" t="n">
        <v>1</v>
      </c>
      <c r="G5" s="215" t="n">
        <v>2</v>
      </c>
      <c r="H5" s="215" t="n"/>
      <c r="I5" s="215" t="n"/>
      <c r="J5" s="215" t="n"/>
      <c r="K5" s="216" t="n"/>
      <c r="L5" s="217" t="n">
        <v>176</v>
      </c>
      <c r="M5" s="215" t="n"/>
      <c r="N5" s="215" t="n">
        <v>8</v>
      </c>
      <c r="O5" s="215" t="n"/>
      <c r="P5" s="215" t="n"/>
      <c r="Q5" s="215" t="n"/>
      <c r="R5" s="215" t="n"/>
      <c r="S5" s="215" t="n"/>
      <c r="T5" s="218" t="n"/>
      <c r="V5" s="23" t="inlineStr">
        <is>
          <t>ESCO</t>
        </is>
      </c>
      <c r="W5" s="24" t="inlineStr">
        <is>
          <t>TERMINAL</t>
        </is>
      </c>
      <c r="X5" s="214" t="n">
        <v>6</v>
      </c>
      <c r="Y5" s="215" t="n"/>
      <c r="Z5" s="215" t="n">
        <v>6</v>
      </c>
      <c r="AA5" s="215" t="n"/>
      <c r="AB5" s="215" t="n"/>
      <c r="AC5" s="215" t="n"/>
      <c r="AD5" s="215" t="n"/>
      <c r="AE5" s="215" t="n"/>
      <c r="AF5" s="216" t="n"/>
      <c r="AG5" s="217" t="n">
        <v>8</v>
      </c>
      <c r="AH5" s="215" t="n"/>
      <c r="AI5" s="215" t="n"/>
      <c r="AJ5" s="215" t="n"/>
      <c r="AK5" s="215" t="n"/>
      <c r="AL5" s="215" t="n"/>
      <c r="AM5" s="215" t="n"/>
      <c r="AN5" s="215" t="n"/>
      <c r="AO5" s="218" t="n"/>
    </row>
    <row r="6" ht="15" customFormat="1" customHeight="1" s="19">
      <c r="A6" s="23" t="inlineStr">
        <is>
          <t>ESCO #2</t>
        </is>
      </c>
      <c r="B6" s="24" t="inlineStr">
        <is>
          <t>ICD</t>
        </is>
      </c>
      <c r="C6" s="214" t="n">
        <v>20</v>
      </c>
      <c r="D6" s="215" t="n"/>
      <c r="E6" s="215" t="n">
        <v>15</v>
      </c>
      <c r="F6" s="215" t="n"/>
      <c r="G6" s="215" t="n">
        <v>1</v>
      </c>
      <c r="H6" s="215" t="n"/>
      <c r="I6" s="215" t="n"/>
      <c r="J6" s="215" t="n"/>
      <c r="K6" s="216" t="n"/>
      <c r="L6" s="217" t="n">
        <v>1</v>
      </c>
      <c r="M6" s="215" t="n"/>
      <c r="N6" s="215" t="n">
        <v>4</v>
      </c>
      <c r="O6" s="215" t="n"/>
      <c r="P6" s="215" t="n"/>
      <c r="Q6" s="215" t="n"/>
      <c r="R6" s="215" t="n"/>
      <c r="S6" s="215" t="n"/>
      <c r="T6" s="218" t="n"/>
      <c r="V6" s="23" t="inlineStr">
        <is>
          <t>LCIT</t>
        </is>
      </c>
      <c r="W6" s="24" t="inlineStr">
        <is>
          <t>TERMINAL</t>
        </is>
      </c>
      <c r="X6" s="214" t="n">
        <v>16</v>
      </c>
      <c r="Y6" s="215" t="n"/>
      <c r="Z6" s="215" t="n">
        <v>15</v>
      </c>
      <c r="AA6" s="215" t="n"/>
      <c r="AB6" s="215" t="n">
        <v>2</v>
      </c>
      <c r="AC6" s="215" t="n"/>
      <c r="AD6" s="215" t="n"/>
      <c r="AE6" s="215" t="n"/>
      <c r="AF6" s="216" t="n"/>
      <c r="AG6" s="217" t="n"/>
      <c r="AH6" s="215" t="n"/>
      <c r="AI6" s="215" t="n"/>
      <c r="AJ6" s="215" t="n"/>
      <c r="AK6" s="215" t="n"/>
      <c r="AL6" s="215" t="n"/>
      <c r="AM6" s="215" t="n"/>
      <c r="AN6" s="215" t="n"/>
      <c r="AO6" s="218" t="n"/>
    </row>
    <row r="7" ht="15" customFormat="1" customHeight="1" s="34">
      <c r="A7" s="23" t="inlineStr">
        <is>
          <t>TIFFA</t>
        </is>
      </c>
      <c r="B7" s="24" t="inlineStr">
        <is>
          <t>ICD</t>
        </is>
      </c>
      <c r="C7" s="214" t="n">
        <v>6</v>
      </c>
      <c r="D7" s="215" t="n"/>
      <c r="E7" s="215" t="n">
        <v>24</v>
      </c>
      <c r="F7" s="215" t="n"/>
      <c r="G7" s="215" t="n"/>
      <c r="H7" s="215" t="n"/>
      <c r="I7" s="215" t="n"/>
      <c r="J7" s="215" t="n"/>
      <c r="K7" s="216" t="n"/>
      <c r="L7" s="217" t="n">
        <v>1</v>
      </c>
      <c r="M7" s="215" t="n"/>
      <c r="N7" s="215" t="n">
        <v>2</v>
      </c>
      <c r="O7" s="215" t="n"/>
      <c r="P7" s="215" t="n"/>
      <c r="Q7" s="215" t="n"/>
      <c r="R7" s="215" t="n"/>
      <c r="S7" s="215" t="n"/>
      <c r="T7" s="218" t="n"/>
      <c r="V7" s="23" t="inlineStr">
        <is>
          <t>HPT</t>
        </is>
      </c>
      <c r="W7" s="24" t="inlineStr">
        <is>
          <t>TERMINAL</t>
        </is>
      </c>
      <c r="X7" s="214" t="n">
        <v>61</v>
      </c>
      <c r="Y7" s="215" t="n"/>
      <c r="Z7" s="215" t="n">
        <v>56</v>
      </c>
      <c r="AA7" s="215" t="n"/>
      <c r="AB7" s="215" t="n"/>
      <c r="AC7" s="215" t="n"/>
      <c r="AD7" s="215" t="n"/>
      <c r="AE7" s="215" t="n"/>
      <c r="AF7" s="216" t="n"/>
      <c r="AG7" s="217" t="n">
        <v>86</v>
      </c>
      <c r="AH7" s="215" t="n"/>
      <c r="AI7" s="215" t="n">
        <v>48</v>
      </c>
      <c r="AJ7" s="215" t="n"/>
      <c r="AK7" s="215" t="n"/>
      <c r="AL7" s="215" t="n"/>
      <c r="AM7" s="215" t="n"/>
      <c r="AN7" s="215" t="n"/>
      <c r="AO7" s="218" t="n"/>
    </row>
    <row r="8" ht="15" customHeight="1">
      <c r="A8" s="35" t="inlineStr">
        <is>
          <t>SMART</t>
        </is>
      </c>
      <c r="B8" s="36" t="inlineStr">
        <is>
          <t>DEPOT</t>
        </is>
      </c>
      <c r="C8" s="219" t="n"/>
      <c r="D8" s="220" t="n"/>
      <c r="E8" s="220" t="n"/>
      <c r="F8" s="220" t="n"/>
      <c r="G8" s="220" t="n"/>
      <c r="H8" s="220" t="n"/>
      <c r="I8" s="220" t="n"/>
      <c r="J8" s="220" t="n"/>
      <c r="K8" s="221" t="n"/>
      <c r="L8" s="222" t="n">
        <v>656</v>
      </c>
      <c r="M8" s="223" t="n"/>
      <c r="N8" s="223" t="n">
        <v>847</v>
      </c>
      <c r="O8" s="223" t="n"/>
      <c r="P8" s="223" t="n"/>
      <c r="Q8" s="223" t="n"/>
      <c r="R8" s="223" t="n"/>
      <c r="S8" s="223" t="n"/>
      <c r="T8" s="224" t="n"/>
      <c r="V8" s="35" t="inlineStr">
        <is>
          <t>HAST</t>
        </is>
      </c>
      <c r="W8" s="36" t="inlineStr">
        <is>
          <t>DEPOT</t>
        </is>
      </c>
      <c r="X8" s="219" t="n"/>
      <c r="Y8" s="220" t="n"/>
      <c r="Z8" s="220" t="n"/>
      <c r="AA8" s="220" t="n"/>
      <c r="AB8" s="220" t="n"/>
      <c r="AC8" s="220" t="n"/>
      <c r="AD8" s="220" t="n"/>
      <c r="AE8" s="220" t="n"/>
      <c r="AF8" s="221" t="n"/>
      <c r="AG8" s="222" t="n">
        <v>918</v>
      </c>
      <c r="AH8" s="223" t="n"/>
      <c r="AI8" s="223" t="n">
        <v>316</v>
      </c>
      <c r="AJ8" s="223" t="n">
        <v>12</v>
      </c>
      <c r="AK8" s="223" t="n">
        <v>62</v>
      </c>
      <c r="AL8" s="223" t="n"/>
      <c r="AM8" s="223" t="n"/>
      <c r="AN8" s="223" t="n"/>
      <c r="AO8" s="224" t="n"/>
    </row>
    <row r="9" ht="15" customHeight="1">
      <c r="A9" s="35" t="inlineStr">
        <is>
          <t>BC2</t>
        </is>
      </c>
      <c r="B9" s="36" t="inlineStr">
        <is>
          <t>DEPOT</t>
        </is>
      </c>
      <c r="C9" s="219" t="n"/>
      <c r="D9" s="220" t="n"/>
      <c r="E9" s="220" t="n"/>
      <c r="F9" s="220" t="n"/>
      <c r="G9" s="220" t="n"/>
      <c r="H9" s="220" t="n"/>
      <c r="I9" s="220" t="n"/>
      <c r="J9" s="220" t="n"/>
      <c r="K9" s="221" t="n"/>
      <c r="L9" s="222" t="n">
        <v>842</v>
      </c>
      <c r="M9" s="223" t="n">
        <v>5</v>
      </c>
      <c r="N9" s="223" t="n">
        <v>461</v>
      </c>
      <c r="O9" s="223" t="n">
        <v>38</v>
      </c>
      <c r="P9" s="223" t="n">
        <v>25</v>
      </c>
      <c r="Q9" s="223" t="n"/>
      <c r="R9" s="223" t="n"/>
      <c r="S9" s="223" t="n"/>
      <c r="T9" s="224" t="n"/>
      <c r="V9" s="35" t="inlineStr">
        <is>
          <t>CELLO</t>
        </is>
      </c>
      <c r="W9" s="36" t="inlineStr">
        <is>
          <t>DEPOT</t>
        </is>
      </c>
      <c r="X9" s="219" t="n"/>
      <c r="Y9" s="220" t="n"/>
      <c r="Z9" s="220" t="n"/>
      <c r="AA9" s="220" t="n"/>
      <c r="AB9" s="220" t="n"/>
      <c r="AC9" s="220" t="n"/>
      <c r="AD9" s="220" t="n"/>
      <c r="AE9" s="220" t="n"/>
      <c r="AF9" s="221" t="n"/>
      <c r="AG9" s="222" t="n">
        <v>21</v>
      </c>
      <c r="AH9" s="223" t="n"/>
      <c r="AI9" s="223" t="n">
        <v>23</v>
      </c>
      <c r="AJ9" s="223" t="n"/>
      <c r="AK9" s="223" t="n"/>
      <c r="AL9" s="223" t="n"/>
      <c r="AM9" s="223" t="n"/>
      <c r="AN9" s="223" t="n"/>
      <c r="AO9" s="224" t="n"/>
    </row>
    <row r="10" ht="15" customHeight="1">
      <c r="A10" s="136" t="inlineStr">
        <is>
          <t>BMTP</t>
        </is>
      </c>
      <c r="B10" s="137" t="inlineStr">
        <is>
          <t>ICD</t>
        </is>
      </c>
      <c r="C10" s="214" t="n">
        <v>1</v>
      </c>
      <c r="D10" s="215" t="n"/>
      <c r="E10" s="215" t="n">
        <v>1</v>
      </c>
      <c r="F10" s="215" t="n"/>
      <c r="G10" s="215" t="n"/>
      <c r="H10" s="215" t="n"/>
      <c r="I10" s="215" t="n"/>
      <c r="J10" s="215" t="n"/>
      <c r="K10" s="216" t="n"/>
      <c r="L10" s="217" t="n"/>
      <c r="M10" s="215" t="n"/>
      <c r="N10" s="215" t="n"/>
      <c r="O10" s="215" t="n"/>
      <c r="P10" s="215" t="n"/>
      <c r="Q10" s="215" t="n"/>
      <c r="R10" s="215" t="n"/>
      <c r="S10" s="215" t="n"/>
      <c r="T10" s="218" t="n"/>
      <c r="V10" s="35" t="inlineStr">
        <is>
          <t>PW</t>
        </is>
      </c>
      <c r="W10" s="36" t="inlineStr">
        <is>
          <t>DEPOT</t>
        </is>
      </c>
      <c r="X10" s="219" t="n"/>
      <c r="Y10" s="220" t="n"/>
      <c r="Z10" s="220" t="n"/>
      <c r="AA10" s="220" t="n"/>
      <c r="AB10" s="220" t="n"/>
      <c r="AC10" s="220" t="n"/>
      <c r="AD10" s="220" t="n"/>
      <c r="AE10" s="220" t="n"/>
      <c r="AF10" s="221" t="n"/>
      <c r="AG10" s="222" t="n">
        <v>1043</v>
      </c>
      <c r="AH10" s="223" t="n">
        <v>1</v>
      </c>
      <c r="AI10" s="223" t="n">
        <v>867</v>
      </c>
      <c r="AJ10" s="223" t="n"/>
      <c r="AK10" s="223" t="n"/>
      <c r="AL10" s="223" t="n">
        <v>1</v>
      </c>
      <c r="AM10" s="223" t="n">
        <v>2</v>
      </c>
      <c r="AN10" s="223" t="n">
        <v>2</v>
      </c>
      <c r="AO10" s="224" t="n">
        <v>1</v>
      </c>
    </row>
    <row r="11" ht="15" customHeight="1">
      <c r="A11" s="136" t="inlineStr">
        <is>
          <t>SCT</t>
        </is>
      </c>
      <c r="B11" s="137" t="inlineStr">
        <is>
          <t>ICD</t>
        </is>
      </c>
      <c r="C11" s="214" t="n"/>
      <c r="D11" s="215" t="n"/>
      <c r="E11" s="215" t="n"/>
      <c r="F11" s="215" t="n"/>
      <c r="G11" s="215" t="n"/>
      <c r="H11" s="215" t="n"/>
      <c r="I11" s="215" t="n"/>
      <c r="J11" s="215" t="n"/>
      <c r="K11" s="216" t="n"/>
      <c r="L11" s="217" t="n"/>
      <c r="M11" s="215" t="n"/>
      <c r="N11" s="215" t="n"/>
      <c r="O11" s="215" t="n"/>
      <c r="P11" s="215" t="n"/>
      <c r="Q11" s="215" t="n"/>
      <c r="R11" s="215" t="n"/>
      <c r="S11" s="215" t="n"/>
      <c r="T11" s="218" t="n"/>
      <c r="V11" s="35" t="n"/>
      <c r="W11" s="36" t="n"/>
      <c r="X11" s="39" t="n"/>
      <c r="Y11" s="29" t="n"/>
      <c r="Z11" s="29" t="n"/>
      <c r="AA11" s="29" t="n"/>
      <c r="AB11" s="29" t="n"/>
      <c r="AC11" s="29" t="n"/>
      <c r="AD11" s="29" t="n"/>
      <c r="AE11" s="29" t="n"/>
      <c r="AF11" s="40" t="n"/>
      <c r="AG11" s="35" t="n"/>
      <c r="AH11" s="29" t="n"/>
      <c r="AI11" s="29" t="n"/>
      <c r="AJ11" s="29" t="n"/>
      <c r="AK11" s="29" t="n"/>
      <c r="AL11" s="29" t="n"/>
      <c r="AM11" s="29" t="n"/>
      <c r="AN11" s="29" t="n"/>
      <c r="AO11" s="30" t="n"/>
    </row>
    <row r="12" ht="15" customHeight="1">
      <c r="A12" s="43" t="n"/>
      <c r="B12" s="44" t="n"/>
      <c r="C12" s="41" t="n"/>
      <c r="D12" s="28" t="n"/>
      <c r="E12" s="28" t="n"/>
      <c r="F12" s="28" t="n"/>
      <c r="G12" s="28" t="n"/>
      <c r="H12" s="28" t="n"/>
      <c r="I12" s="28" t="n"/>
      <c r="J12" s="28" t="n"/>
      <c r="K12" s="42" t="n"/>
      <c r="L12" s="35" t="n"/>
      <c r="M12" s="29" t="n"/>
      <c r="N12" s="29" t="n"/>
      <c r="O12" s="29" t="n"/>
      <c r="P12" s="29" t="n"/>
      <c r="Q12" s="29" t="n"/>
      <c r="R12" s="29" t="n"/>
      <c r="S12" s="29" t="n"/>
      <c r="T12" s="30" t="n"/>
      <c r="V12" s="35" t="n"/>
      <c r="W12" s="36" t="n"/>
      <c r="X12" s="39" t="n"/>
      <c r="Y12" s="29" t="n"/>
      <c r="Z12" s="29" t="n"/>
      <c r="AA12" s="29" t="n"/>
      <c r="AB12" s="29" t="n"/>
      <c r="AC12" s="29" t="n"/>
      <c r="AD12" s="29" t="n"/>
      <c r="AE12" s="29" t="n"/>
      <c r="AF12" s="40" t="n"/>
      <c r="AG12" s="35" t="n"/>
      <c r="AH12" s="29" t="n"/>
      <c r="AI12" s="29" t="n"/>
      <c r="AJ12" s="29" t="n"/>
      <c r="AK12" s="29" t="n"/>
      <c r="AL12" s="29" t="n"/>
      <c r="AM12" s="29" t="n"/>
      <c r="AN12" s="29" t="n"/>
      <c r="AO12" s="30" t="n"/>
    </row>
    <row r="13" ht="15" customHeight="1">
      <c r="A13" s="45" t="inlineStr">
        <is>
          <t>LEASE IN</t>
        </is>
      </c>
      <c r="B13" s="46" t="n"/>
      <c r="C13" s="25" t="n"/>
      <c r="D13" s="26" t="n"/>
      <c r="E13" s="26" t="n"/>
      <c r="F13" s="26" t="n"/>
      <c r="G13" s="26" t="n"/>
      <c r="H13" s="26" t="n"/>
      <c r="I13" s="26" t="n"/>
      <c r="J13" s="26" t="n"/>
      <c r="K13" s="27" t="n"/>
      <c r="L13" s="50" t="n"/>
      <c r="M13" s="51" t="n"/>
      <c r="N13" s="51" t="n"/>
      <c r="O13" s="51" t="n"/>
      <c r="P13" s="51" t="n"/>
      <c r="Q13" s="51" t="n"/>
      <c r="R13" s="51" t="n"/>
      <c r="S13" s="51" t="n"/>
      <c r="T13" s="52" t="n"/>
      <c r="V13" s="45" t="inlineStr">
        <is>
          <t>LEASE IN</t>
        </is>
      </c>
      <c r="W13" s="46" t="n"/>
      <c r="X13" s="91" t="n"/>
      <c r="Y13" s="92" t="n"/>
      <c r="Z13" s="92" t="n"/>
      <c r="AA13" s="92" t="n"/>
      <c r="AB13" s="92" t="n"/>
      <c r="AC13" s="92" t="n"/>
      <c r="AD13" s="92" t="n"/>
      <c r="AE13" s="92" t="n"/>
      <c r="AF13" s="93" t="n"/>
      <c r="AG13" s="50" t="n"/>
      <c r="AH13" s="51" t="n"/>
      <c r="AI13" s="51" t="n"/>
      <c r="AJ13" s="51" t="n"/>
      <c r="AK13" s="51" t="n"/>
      <c r="AL13" s="51" t="n"/>
      <c r="AM13" s="51" t="n"/>
      <c r="AN13" s="51" t="n"/>
      <c r="AO13" s="52" t="n"/>
      <c r="AR13" s="3" t="inlineStr">
        <is>
          <t xml:space="preserve"> </t>
        </is>
      </c>
    </row>
    <row r="14" ht="15" customHeight="1">
      <c r="A14" s="45" t="inlineStr">
        <is>
          <t>REPO (E/P)</t>
        </is>
      </c>
      <c r="B14" s="47" t="n"/>
      <c r="C14" s="37" t="n"/>
      <c r="D14" s="38" t="n"/>
      <c r="E14" s="38" t="n"/>
      <c r="F14" s="26" t="n"/>
      <c r="G14" s="26" t="n"/>
      <c r="H14" s="26" t="n"/>
      <c r="I14" s="26" t="n"/>
      <c r="J14" s="26" t="n"/>
      <c r="K14" s="27" t="n"/>
      <c r="L14" s="50" t="n"/>
      <c r="M14" s="51" t="n"/>
      <c r="N14" s="51" t="n"/>
      <c r="O14" s="51" t="n"/>
      <c r="P14" s="51" t="n"/>
      <c r="Q14" s="51" t="n"/>
      <c r="R14" s="51" t="n"/>
      <c r="S14" s="51" t="n"/>
      <c r="T14" s="52" t="n"/>
      <c r="V14" s="45" t="inlineStr">
        <is>
          <t>REPO (E/P)</t>
        </is>
      </c>
      <c r="W14" s="47" t="n"/>
      <c r="X14" s="25" t="n"/>
      <c r="Y14" s="26" t="n"/>
      <c r="Z14" s="26" t="n"/>
      <c r="AA14" s="26" t="n"/>
      <c r="AB14" s="26" t="n"/>
      <c r="AC14" s="26" t="n"/>
      <c r="AD14" s="26" t="n"/>
      <c r="AE14" s="26" t="n"/>
      <c r="AF14" s="27" t="n"/>
      <c r="AG14" s="50" t="n"/>
      <c r="AH14" s="51" t="n"/>
      <c r="AI14" s="51" t="n"/>
      <c r="AJ14" s="51" t="n"/>
      <c r="AK14" s="51" t="n"/>
      <c r="AL14" s="51" t="n"/>
      <c r="AM14" s="51" t="n"/>
      <c r="AN14" s="51" t="n"/>
      <c r="AO14" s="52" t="n"/>
    </row>
    <row r="15" ht="15" customHeight="1" thickBot="1">
      <c r="A15" s="193" t="inlineStr">
        <is>
          <t>TOTAL AT BKK</t>
        </is>
      </c>
      <c r="B15" s="194" t="n"/>
      <c r="C15" s="54">
        <f>SUM(C4:C14)</f>
        <v/>
      </c>
      <c r="D15" s="55">
        <f>SUM(D4:D14)</f>
        <v/>
      </c>
      <c r="E15" s="55">
        <f>SUM(E4:E14)</f>
        <v/>
      </c>
      <c r="F15" s="55">
        <f>SUM(F4:F14)</f>
        <v/>
      </c>
      <c r="G15" s="55">
        <f>SUM(G4:G14)</f>
        <v/>
      </c>
      <c r="H15" s="55">
        <f>SUM(H4:H14)</f>
        <v/>
      </c>
      <c r="I15" s="55">
        <f>SUM(I4:I14)</f>
        <v/>
      </c>
      <c r="J15" s="55">
        <f>SUM(J4:J14)</f>
        <v/>
      </c>
      <c r="K15" s="56">
        <f>SUM(K4:K14)</f>
        <v/>
      </c>
      <c r="L15" s="57">
        <f>SUM(L4:L14)</f>
        <v/>
      </c>
      <c r="M15" s="58">
        <f>SUM(M4:M14)</f>
        <v/>
      </c>
      <c r="N15" s="58">
        <f>SUM(N4:N14)</f>
        <v/>
      </c>
      <c r="O15" s="58">
        <f>SUM(O4:O14)</f>
        <v/>
      </c>
      <c r="P15" s="58">
        <f>SUM(P4:P14)</f>
        <v/>
      </c>
      <c r="Q15" s="58">
        <f>SUM(Q4:Q14)</f>
        <v/>
      </c>
      <c r="R15" s="58">
        <f>SUM(R4:R14)</f>
        <v/>
      </c>
      <c r="S15" s="58">
        <f>SUM(S4:S14)</f>
        <v/>
      </c>
      <c r="T15" s="59">
        <f>SUM(T4:T14)</f>
        <v/>
      </c>
      <c r="U15" s="9" t="n"/>
      <c r="V15" s="193" t="inlineStr">
        <is>
          <t>TOTAL AT LCH</t>
        </is>
      </c>
      <c r="W15" s="194" t="n"/>
      <c r="X15" s="54">
        <f>SUM(X4:X14)</f>
        <v/>
      </c>
      <c r="Y15" s="55">
        <f>SUM(Y4:Y14)</f>
        <v/>
      </c>
      <c r="Z15" s="55">
        <f>SUM(Z4:Z14)</f>
        <v/>
      </c>
      <c r="AA15" s="55">
        <f>SUM(AA4:AA14)</f>
        <v/>
      </c>
      <c r="AB15" s="55">
        <f>SUM(AB4:AB14)</f>
        <v/>
      </c>
      <c r="AC15" s="55">
        <f>SUM(AC4:AC14)</f>
        <v/>
      </c>
      <c r="AD15" s="55">
        <f>SUM(AD4:AD14)</f>
        <v/>
      </c>
      <c r="AE15" s="55">
        <f>SUM(AE4:AE14)</f>
        <v/>
      </c>
      <c r="AF15" s="56">
        <f>SUM(AF4:AF14)</f>
        <v/>
      </c>
      <c r="AG15" s="57">
        <f>AG13+AG12+AG11+AG10+AG9+AG8+AG7+AG6+AG5+AG4</f>
        <v/>
      </c>
      <c r="AH15" s="58">
        <f>AH13+AH12+AH11+AH10+AH9+AH8+AH7+AH6+AH5+AH4</f>
        <v/>
      </c>
      <c r="AI15" s="58">
        <f>AI13+AI12+AI11+AI10+AI9+AI8+AI7+AI6+AI5+AI4</f>
        <v/>
      </c>
      <c r="AJ15" s="58">
        <f>AJ13+AJ12+AJ11+AJ10+AJ9+AJ8+AJ7+AJ6+AJ5+AJ4</f>
        <v/>
      </c>
      <c r="AK15" s="58">
        <f>AK13+AK12+AK11+AK10+AK9+AK8+AK7+AK6+AK5+AK4</f>
        <v/>
      </c>
      <c r="AL15" s="58">
        <f>AL13+AL12+AL11+AL10+AL9+AL8+AL7+AL6+AL5+AL4</f>
        <v/>
      </c>
      <c r="AM15" s="58">
        <f>AM13+AM12+AM11+AM10+AM9+AM8+AM7+AM6+AM5+AM4</f>
        <v/>
      </c>
      <c r="AN15" s="58">
        <f>AN13+AN12+AN11+AN10+AN9+AN8+AN7+AN6+AN5+AN4</f>
        <v/>
      </c>
      <c r="AO15" s="59">
        <f>AO13+AO12+AO11+AO10+AO9+AO8+AO7+AO6+AO5+AO4</f>
        <v/>
      </c>
    </row>
    <row r="16" hidden="1" ht="12.75" customHeight="1">
      <c r="A16" s="60" t="n"/>
      <c r="B16" s="61" t="n"/>
      <c r="V16" s="60" t="n"/>
      <c r="W16" s="61" t="n"/>
      <c r="AO16" s="61" t="n"/>
    </row>
    <row r="17" hidden="1" ht="12.75" customHeight="1">
      <c r="A17" s="153" t="inlineStr">
        <is>
          <t>LOCATION</t>
        </is>
      </c>
      <c r="B17" s="62" t="n"/>
      <c r="C17" s="151" t="n"/>
      <c r="D17" s="187" t="n"/>
      <c r="E17" s="187" t="n"/>
      <c r="F17" s="187" t="n"/>
      <c r="G17" s="187" t="n"/>
      <c r="H17" s="187" t="n"/>
      <c r="I17" s="187" t="n"/>
      <c r="J17" s="187" t="n"/>
      <c r="K17" s="188" t="n"/>
      <c r="L17" s="144" t="inlineStr">
        <is>
          <t>STOCK BALANCE END WK</t>
        </is>
      </c>
      <c r="M17" s="187" t="n"/>
      <c r="N17" s="187" t="n"/>
      <c r="O17" s="187" t="n"/>
      <c r="P17" s="187" t="n"/>
      <c r="Q17" s="187" t="n"/>
      <c r="R17" s="187" t="n"/>
      <c r="S17" s="187" t="n"/>
      <c r="T17" s="188" t="n"/>
      <c r="V17" s="153" t="inlineStr">
        <is>
          <t>LOCATION</t>
        </is>
      </c>
      <c r="W17" s="62" t="n"/>
      <c r="X17" s="151" t="n"/>
      <c r="Y17" s="187" t="n"/>
      <c r="Z17" s="187" t="n"/>
      <c r="AA17" s="187" t="n"/>
      <c r="AB17" s="187" t="n"/>
      <c r="AC17" s="187" t="n"/>
      <c r="AD17" s="187" t="n"/>
      <c r="AE17" s="187" t="n"/>
      <c r="AF17" s="188" t="n"/>
      <c r="AG17" s="144" t="inlineStr">
        <is>
          <t>STOCK BALANCE END WK</t>
        </is>
      </c>
      <c r="AH17" s="187" t="n"/>
      <c r="AI17" s="187" t="n"/>
      <c r="AJ17" s="187" t="n"/>
      <c r="AK17" s="187" t="n"/>
      <c r="AL17" s="187" t="n"/>
      <c r="AM17" s="187" t="n"/>
      <c r="AN17" s="187" t="n"/>
      <c r="AO17" s="188" t="n"/>
    </row>
    <row r="18" hidden="1" ht="12.75" customHeight="1">
      <c r="A18" s="195" t="n"/>
      <c r="B18" s="63" t="n"/>
      <c r="C18" s="37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inlineStr">
        <is>
          <t>22GP</t>
        </is>
      </c>
      <c r="M18" s="38" t="inlineStr">
        <is>
          <t>42GP</t>
        </is>
      </c>
      <c r="N18" s="38" t="inlineStr">
        <is>
          <t>45GP</t>
        </is>
      </c>
      <c r="O18" s="38" t="inlineStr">
        <is>
          <t>22RE</t>
        </is>
      </c>
      <c r="P18" s="38" t="inlineStr">
        <is>
          <t>45RE</t>
        </is>
      </c>
      <c r="Q18" s="38" t="inlineStr">
        <is>
          <t>22UT</t>
        </is>
      </c>
      <c r="R18" s="38" t="inlineStr">
        <is>
          <t>42UT</t>
        </is>
      </c>
      <c r="S18" s="38" t="inlineStr">
        <is>
          <t>22PC</t>
        </is>
      </c>
      <c r="T18" s="64" t="inlineStr">
        <is>
          <t>42PC</t>
        </is>
      </c>
      <c r="V18" s="195" t="n"/>
      <c r="W18" s="63" t="n"/>
      <c r="X18" s="37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inlineStr">
        <is>
          <t>22GP</t>
        </is>
      </c>
      <c r="AH18" s="38" t="inlineStr">
        <is>
          <t>42GP</t>
        </is>
      </c>
      <c r="AI18" s="38" t="inlineStr">
        <is>
          <t>45GP</t>
        </is>
      </c>
      <c r="AJ18" s="38" t="inlineStr">
        <is>
          <t>22RE</t>
        </is>
      </c>
      <c r="AK18" s="38" t="inlineStr">
        <is>
          <t>45RE</t>
        </is>
      </c>
      <c r="AL18" s="38" t="inlineStr">
        <is>
          <t>22UT</t>
        </is>
      </c>
      <c r="AM18" s="38" t="inlineStr">
        <is>
          <t>42UT</t>
        </is>
      </c>
      <c r="AN18" s="38" t="inlineStr">
        <is>
          <t>22PC</t>
        </is>
      </c>
      <c r="AO18" s="64" t="inlineStr">
        <is>
          <t>42PC</t>
        </is>
      </c>
    </row>
    <row r="19" hidden="1" ht="12.75" customHeight="1">
      <c r="A19" s="65" t="inlineStr">
        <is>
          <t xml:space="preserve">REPO IN（E/P）　　　　　　　　　</t>
        </is>
      </c>
      <c r="B19" s="66" t="n"/>
      <c r="C19" s="48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8" t="n"/>
      <c r="V19" s="65" t="inlineStr">
        <is>
          <t xml:space="preserve">REPO IN（E/P）　　　　　　　　　</t>
        </is>
      </c>
      <c r="W19" s="66" t="n"/>
      <c r="X19" s="48" t="n"/>
      <c r="Y19" s="49" t="n"/>
      <c r="Z19" s="49" t="n"/>
      <c r="AA19" s="49" t="n"/>
      <c r="AB19" s="49" t="n"/>
      <c r="AC19" s="49" t="n"/>
      <c r="AD19" s="49" t="n"/>
      <c r="AE19" s="49" t="n"/>
      <c r="AF19" s="49" t="n"/>
      <c r="AG19" s="67" t="n"/>
      <c r="AH19" s="67" t="n"/>
      <c r="AI19" s="67" t="n"/>
      <c r="AJ19" s="67" t="n"/>
      <c r="AK19" s="67" t="n"/>
      <c r="AL19" s="67" t="n"/>
      <c r="AM19" s="67" t="n"/>
      <c r="AN19" s="67" t="n"/>
      <c r="AO19" s="68" t="n"/>
    </row>
    <row r="20" hidden="1" ht="12.75" customHeight="1">
      <c r="A20" s="65" t="inlineStr">
        <is>
          <t>LEASE IN</t>
        </is>
      </c>
      <c r="B20" s="66" t="n"/>
      <c r="C20" s="48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8" t="n"/>
      <c r="V20" s="65" t="inlineStr">
        <is>
          <t>LEASE IN</t>
        </is>
      </c>
      <c r="W20" s="66" t="n"/>
      <c r="X20" s="48" t="n"/>
      <c r="Y20" s="49" t="n"/>
      <c r="Z20" s="49" t="n"/>
      <c r="AA20" s="49" t="n"/>
      <c r="AB20" s="49" t="n"/>
      <c r="AC20" s="49" t="n"/>
      <c r="AD20" s="49" t="n"/>
      <c r="AE20" s="49" t="n"/>
      <c r="AF20" s="49" t="n"/>
      <c r="AG20" s="67" t="n"/>
      <c r="AH20" s="67" t="n"/>
      <c r="AI20" s="67" t="n"/>
      <c r="AJ20" s="67" t="n"/>
      <c r="AK20" s="67" t="n"/>
      <c r="AL20" s="67" t="n"/>
      <c r="AM20" s="67" t="n"/>
      <c r="AN20" s="67" t="n"/>
      <c r="AO20" s="68" t="n"/>
    </row>
    <row r="21" hidden="1" ht="12.75" customHeight="1">
      <c r="A21" s="43" t="n"/>
      <c r="B21" s="44" t="n"/>
      <c r="C21" s="48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30" t="n"/>
      <c r="V21" s="43" t="n"/>
      <c r="W21" s="44" t="n"/>
      <c r="X21" s="48" t="n"/>
      <c r="Y21" s="49" t="n"/>
      <c r="Z21" s="49" t="n"/>
      <c r="AA21" s="49" t="n"/>
      <c r="AB21" s="49" t="n"/>
      <c r="AC21" s="49" t="n"/>
      <c r="AD21" s="49" t="n"/>
      <c r="AE21" s="49" t="n"/>
      <c r="AF21" s="49" t="n"/>
      <c r="AG21" s="29" t="n"/>
      <c r="AH21" s="29" t="n"/>
      <c r="AI21" s="29" t="n"/>
      <c r="AJ21" s="29" t="n"/>
      <c r="AK21" s="29" t="n"/>
      <c r="AL21" s="29" t="n"/>
      <c r="AM21" s="29" t="n"/>
      <c r="AN21" s="29" t="n"/>
      <c r="AO21" s="30" t="n"/>
    </row>
    <row r="22" hidden="1" ht="12.75" customHeight="1">
      <c r="A22" s="43" t="n"/>
      <c r="B22" s="44" t="n"/>
      <c r="C22" s="48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30" t="n"/>
      <c r="V22" s="43" t="n"/>
      <c r="W22" s="44" t="n"/>
      <c r="X22" s="48" t="n"/>
      <c r="Y22" s="49" t="n"/>
      <c r="Z22" s="49" t="n"/>
      <c r="AA22" s="49" t="n"/>
      <c r="AB22" s="49" t="n"/>
      <c r="AC22" s="49" t="n"/>
      <c r="AD22" s="49" t="n"/>
      <c r="AE22" s="49" t="n"/>
      <c r="AF22" s="49" t="n"/>
      <c r="AG22" s="29" t="n"/>
      <c r="AH22" s="29" t="n"/>
      <c r="AI22" s="29" t="n"/>
      <c r="AJ22" s="29" t="n"/>
      <c r="AK22" s="29" t="n"/>
      <c r="AL22" s="29" t="n"/>
      <c r="AM22" s="29" t="n"/>
      <c r="AN22" s="29" t="n"/>
      <c r="AO22" s="30" t="n"/>
    </row>
    <row r="23" hidden="1" ht="12.75" customHeight="1">
      <c r="A23" s="43" t="n"/>
      <c r="B23" s="44" t="n"/>
      <c r="C23" s="48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30" t="n"/>
      <c r="V23" s="43" t="n"/>
      <c r="W23" s="44" t="n"/>
      <c r="X23" s="48" t="n"/>
      <c r="Y23" s="49" t="n"/>
      <c r="Z23" s="49" t="n"/>
      <c r="AA23" s="49" t="n"/>
      <c r="AB23" s="49" t="n"/>
      <c r="AC23" s="49" t="n"/>
      <c r="AD23" s="49" t="n"/>
      <c r="AE23" s="49" t="n"/>
      <c r="AF23" s="49" t="n"/>
      <c r="AG23" s="29" t="n"/>
      <c r="AH23" s="29" t="n"/>
      <c r="AI23" s="29" t="n"/>
      <c r="AJ23" s="29" t="n"/>
      <c r="AK23" s="29" t="n"/>
      <c r="AL23" s="29" t="n"/>
      <c r="AM23" s="29" t="n"/>
      <c r="AN23" s="29" t="n"/>
      <c r="AO23" s="30" t="n"/>
    </row>
    <row r="24" hidden="1" ht="13.5" customHeight="1" thickBot="1">
      <c r="A24" s="69" t="inlineStr">
        <is>
          <t>TOTAL AT BKK</t>
        </is>
      </c>
      <c r="B24" s="139" t="n"/>
      <c r="C24" s="70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58" t="n"/>
      <c r="M24" s="58" t="n"/>
      <c r="N24" s="58" t="n"/>
      <c r="O24" s="58" t="n"/>
      <c r="P24" s="58" t="n"/>
      <c r="Q24" s="58" t="n"/>
      <c r="R24" s="58" t="n"/>
      <c r="S24" s="58" t="n"/>
      <c r="T24" s="59" t="n"/>
      <c r="V24" s="69" t="inlineStr">
        <is>
          <t>TOTAL AT BKK</t>
        </is>
      </c>
      <c r="W24" s="139" t="n"/>
      <c r="X24" s="70" t="n"/>
      <c r="Y24" s="71" t="n"/>
      <c r="Z24" s="71" t="n"/>
      <c r="AA24" s="71" t="n"/>
      <c r="AB24" s="71" t="n"/>
      <c r="AC24" s="71" t="n"/>
      <c r="AD24" s="71" t="n"/>
      <c r="AE24" s="71" t="n"/>
      <c r="AF24" s="71" t="n"/>
      <c r="AG24" s="58" t="n"/>
      <c r="AH24" s="58" t="n"/>
      <c r="AI24" s="58" t="n"/>
      <c r="AJ24" s="58" t="n"/>
      <c r="AK24" s="58" t="n"/>
      <c r="AL24" s="58" t="n"/>
      <c r="AM24" s="58" t="n"/>
      <c r="AN24" s="58" t="n"/>
      <c r="AO24" s="59" t="n"/>
    </row>
    <row r="25" hidden="1" ht="12.75" customHeight="1">
      <c r="A25" s="60" t="n"/>
      <c r="B25" s="61" t="n"/>
      <c r="V25" s="60" t="n"/>
      <c r="W25" s="61" t="n"/>
      <c r="AO25" s="61" t="n"/>
    </row>
    <row r="26" hidden="1" ht="12.75" customHeight="1">
      <c r="A26" s="60" t="n"/>
      <c r="B26" s="61" t="n"/>
      <c r="V26" s="60" t="n"/>
      <c r="W26" s="61" t="n"/>
      <c r="AO26" s="61" t="n"/>
    </row>
    <row r="27" hidden="1" ht="12.75" customHeight="1">
      <c r="A27" s="60" t="n"/>
      <c r="B27" s="61" t="n"/>
      <c r="V27" s="60" t="n"/>
      <c r="W27" s="61" t="n"/>
      <c r="AO27" s="61" t="n"/>
    </row>
    <row r="28" ht="9.949999999999999" customHeight="1" thickBot="1">
      <c r="A28" s="60" t="n"/>
      <c r="AO28" s="61" t="n"/>
    </row>
    <row r="29" ht="15" customHeight="1">
      <c r="A29" s="185" t="inlineStr">
        <is>
          <t>LOCATION</t>
        </is>
      </c>
      <c r="B29" s="186" t="n"/>
      <c r="C29" s="151" t="inlineStr">
        <is>
          <t>BOOKING (BKK) WK1ST</t>
        </is>
      </c>
      <c r="D29" s="187" t="n"/>
      <c r="E29" s="187" t="n"/>
      <c r="F29" s="187" t="n"/>
      <c r="G29" s="187" t="n"/>
      <c r="H29" s="188" t="n"/>
      <c r="I29" s="196" t="inlineStr">
        <is>
          <t>15-18/10/2026</t>
        </is>
      </c>
      <c r="J29" s="187" t="n"/>
      <c r="K29" s="190" t="n"/>
      <c r="L29" s="143" t="inlineStr">
        <is>
          <t>STOCK BALANCE END (BKK) WK1ST</t>
        </is>
      </c>
      <c r="M29" s="187" t="n"/>
      <c r="N29" s="187" t="n"/>
      <c r="O29" s="187" t="n"/>
      <c r="P29" s="187" t="n"/>
      <c r="Q29" s="187" t="n"/>
      <c r="R29" s="187" t="n"/>
      <c r="S29" s="187" t="n"/>
      <c r="T29" s="188" t="n"/>
      <c r="U29" s="2" t="n"/>
      <c r="V29" s="185" t="inlineStr">
        <is>
          <t>LOCATION</t>
        </is>
      </c>
      <c r="W29" s="186" t="n"/>
      <c r="X29" s="151" t="inlineStr">
        <is>
          <t>BOOKING (LCH) WK1ST</t>
        </is>
      </c>
      <c r="Y29" s="187" t="n"/>
      <c r="Z29" s="187" t="n"/>
      <c r="AA29" s="187" t="n"/>
      <c r="AB29" s="187" t="n"/>
      <c r="AC29" s="188" t="n"/>
      <c r="AD29" s="196" t="inlineStr">
        <is>
          <t>15-18/10/2026</t>
        </is>
      </c>
      <c r="AE29" s="187" t="n"/>
      <c r="AF29" s="190" t="n"/>
      <c r="AG29" s="143" t="inlineStr">
        <is>
          <t>STOCK BALANCE END (LCH) WK1ST</t>
        </is>
      </c>
      <c r="AH29" s="187" t="n"/>
      <c r="AI29" s="187" t="n"/>
      <c r="AJ29" s="187" t="n"/>
      <c r="AK29" s="187" t="n"/>
      <c r="AL29" s="187" t="n"/>
      <c r="AM29" s="187" t="n"/>
      <c r="AN29" s="187" t="n"/>
      <c r="AO29" s="188" t="n"/>
    </row>
    <row r="30" ht="15" customHeight="1" thickBot="1">
      <c r="A30" s="191" t="n"/>
      <c r="B30" s="192" t="n"/>
      <c r="C30" s="4" t="inlineStr">
        <is>
          <t>22GP</t>
        </is>
      </c>
      <c r="D30" s="5" t="inlineStr">
        <is>
          <t>42GP</t>
        </is>
      </c>
      <c r="E30" s="5" t="inlineStr">
        <is>
          <t>45GP</t>
        </is>
      </c>
      <c r="F30" s="5" t="inlineStr">
        <is>
          <t>22RE</t>
        </is>
      </c>
      <c r="G30" s="5" t="inlineStr">
        <is>
          <t>45RE</t>
        </is>
      </c>
      <c r="H30" s="5" t="inlineStr">
        <is>
          <t>22UT</t>
        </is>
      </c>
      <c r="I30" s="5" t="inlineStr">
        <is>
          <t>42UT</t>
        </is>
      </c>
      <c r="J30" s="5" t="inlineStr">
        <is>
          <t>22PC</t>
        </is>
      </c>
      <c r="K30" s="6" t="inlineStr">
        <is>
          <t>42PC</t>
        </is>
      </c>
      <c r="L30" s="7" t="inlineStr">
        <is>
          <t>22GP</t>
        </is>
      </c>
      <c r="M30" s="5" t="inlineStr">
        <is>
          <t>42GP</t>
        </is>
      </c>
      <c r="N30" s="5" t="inlineStr">
        <is>
          <t>45GP</t>
        </is>
      </c>
      <c r="O30" s="5" t="inlineStr">
        <is>
          <t>22RE</t>
        </is>
      </c>
      <c r="P30" s="5" t="inlineStr">
        <is>
          <t>45RE</t>
        </is>
      </c>
      <c r="Q30" s="5" t="inlineStr">
        <is>
          <t>22UT</t>
        </is>
      </c>
      <c r="R30" s="5" t="inlineStr">
        <is>
          <t>42UT</t>
        </is>
      </c>
      <c r="S30" s="5" t="inlineStr">
        <is>
          <t>22PC</t>
        </is>
      </c>
      <c r="T30" s="8" t="inlineStr">
        <is>
          <t>42PC</t>
        </is>
      </c>
      <c r="U30" s="9" t="n"/>
      <c r="V30" s="191" t="n"/>
      <c r="W30" s="192" t="n"/>
      <c r="X30" s="4" t="inlineStr">
        <is>
          <t>22GP</t>
        </is>
      </c>
      <c r="Y30" s="5" t="inlineStr">
        <is>
          <t>42GP</t>
        </is>
      </c>
      <c r="Z30" s="5" t="inlineStr">
        <is>
          <t>45GP</t>
        </is>
      </c>
      <c r="AA30" s="5" t="inlineStr">
        <is>
          <t>22RE</t>
        </is>
      </c>
      <c r="AB30" s="5" t="inlineStr">
        <is>
          <t>45RE</t>
        </is>
      </c>
      <c r="AC30" s="5" t="inlineStr">
        <is>
          <t>22UT</t>
        </is>
      </c>
      <c r="AD30" s="5" t="inlineStr">
        <is>
          <t>42UT</t>
        </is>
      </c>
      <c r="AE30" s="5" t="inlineStr">
        <is>
          <t>22PC</t>
        </is>
      </c>
      <c r="AF30" s="6" t="inlineStr">
        <is>
          <t>42PC</t>
        </is>
      </c>
      <c r="AG30" s="7" t="inlineStr">
        <is>
          <t>22GP</t>
        </is>
      </c>
      <c r="AH30" s="5" t="inlineStr">
        <is>
          <t>42GP</t>
        </is>
      </c>
      <c r="AI30" s="5" t="inlineStr">
        <is>
          <t>45GP</t>
        </is>
      </c>
      <c r="AJ30" s="5" t="inlineStr">
        <is>
          <t>22RE</t>
        </is>
      </c>
      <c r="AK30" s="5" t="inlineStr">
        <is>
          <t>45RE</t>
        </is>
      </c>
      <c r="AL30" s="5" t="inlineStr">
        <is>
          <t>22UT</t>
        </is>
      </c>
      <c r="AM30" s="5" t="inlineStr">
        <is>
          <t>42UT</t>
        </is>
      </c>
      <c r="AN30" s="5" t="inlineStr">
        <is>
          <t>22PC</t>
        </is>
      </c>
      <c r="AO30" s="8" t="inlineStr">
        <is>
          <t>42PC</t>
        </is>
      </c>
    </row>
    <row r="31" ht="15" customHeight="1">
      <c r="A31" s="72" t="inlineStr">
        <is>
          <t>PAT</t>
        </is>
      </c>
      <c r="B31" s="73" t="inlineStr">
        <is>
          <t>TERMINAL</t>
        </is>
      </c>
      <c r="C31" s="206" t="n">
        <v>11</v>
      </c>
      <c r="D31" s="207" t="n"/>
      <c r="E31" s="207" t="n">
        <v>20</v>
      </c>
      <c r="F31" s="207" t="n"/>
      <c r="G31" s="207" t="n"/>
      <c r="H31" s="207" t="n"/>
      <c r="I31" s="207" t="n"/>
      <c r="J31" s="207" t="n"/>
      <c r="K31" s="208" t="n"/>
      <c r="L31" s="225">
        <f>SUM(L4-C31)</f>
        <v/>
      </c>
      <c r="M31" s="226">
        <f>SUM(M4-D31)</f>
        <v/>
      </c>
      <c r="N31" s="226">
        <f>SUM(N4-E31)</f>
        <v/>
      </c>
      <c r="O31" s="226">
        <f>SUM(O4-F31)</f>
        <v/>
      </c>
      <c r="P31" s="226">
        <f>SUM(P4-G31)</f>
        <v/>
      </c>
      <c r="Q31" s="226">
        <f>SUM(Q4-H31)</f>
        <v/>
      </c>
      <c r="R31" s="226">
        <f>SUM(R4-I31)</f>
        <v/>
      </c>
      <c r="S31" s="226">
        <f>SUM(S4-J31)</f>
        <v/>
      </c>
      <c r="T31" s="227">
        <f>SUM(T4-K31)</f>
        <v/>
      </c>
      <c r="V31" s="13" t="inlineStr">
        <is>
          <t>LCMT</t>
        </is>
      </c>
      <c r="W31" s="14" t="inlineStr">
        <is>
          <t>TERMINAL</t>
        </is>
      </c>
      <c r="X31" s="228" t="n"/>
      <c r="Y31" s="229" t="n"/>
      <c r="Z31" s="229" t="n"/>
      <c r="AA31" s="229" t="n"/>
      <c r="AB31" s="229" t="n"/>
      <c r="AC31" s="229" t="n"/>
      <c r="AD31" s="229" t="n"/>
      <c r="AE31" s="229" t="n"/>
      <c r="AF31" s="230" t="n"/>
      <c r="AG31" s="225" t="n"/>
      <c r="AH31" s="226" t="n"/>
      <c r="AI31" s="226" t="n"/>
      <c r="AJ31" s="226" t="n"/>
      <c r="AK31" s="226" t="n"/>
      <c r="AL31" s="226" t="n"/>
      <c r="AM31" s="226" t="n"/>
      <c r="AN31" s="226" t="n"/>
      <c r="AO31" s="227" t="n"/>
    </row>
    <row r="32" ht="15" customHeight="1">
      <c r="A32" s="43" t="inlineStr">
        <is>
          <t>UNITHAI</t>
        </is>
      </c>
      <c r="B32" s="44" t="inlineStr">
        <is>
          <t>TERMINAL</t>
        </is>
      </c>
      <c r="C32" s="214" t="n">
        <v>6</v>
      </c>
      <c r="D32" s="215" t="n"/>
      <c r="E32" s="215" t="n"/>
      <c r="F32" s="215" t="n"/>
      <c r="G32" s="215" t="n"/>
      <c r="H32" s="215" t="n"/>
      <c r="I32" s="215" t="n"/>
      <c r="J32" s="215" t="n"/>
      <c r="K32" s="216" t="n"/>
      <c r="L32" s="231">
        <f>SUM(L5-C32)</f>
        <v/>
      </c>
      <c r="M32" s="232">
        <f>SUM(M5-D32)</f>
        <v/>
      </c>
      <c r="N32" s="232">
        <f>SUM(N5-E32)</f>
        <v/>
      </c>
      <c r="O32" s="232">
        <f>SUM(O5-F32)</f>
        <v/>
      </c>
      <c r="P32" s="232">
        <f>SUM(P5-G32)</f>
        <v/>
      </c>
      <c r="Q32" s="232">
        <f>SUM(Q5-H32)</f>
        <v/>
      </c>
      <c r="R32" s="232">
        <f>SUM(R5-I32)</f>
        <v/>
      </c>
      <c r="S32" s="232">
        <f>SUM(S5-J32)</f>
        <v/>
      </c>
      <c r="T32" s="233">
        <f>SUM(T5-K32)</f>
        <v/>
      </c>
      <c r="V32" s="23" t="inlineStr">
        <is>
          <t>ESCO</t>
        </is>
      </c>
      <c r="W32" s="24" t="inlineStr">
        <is>
          <t>TERMINAL</t>
        </is>
      </c>
      <c r="X32" s="234" t="n"/>
      <c r="Y32" s="235" t="n"/>
      <c r="Z32" s="235" t="n"/>
      <c r="AA32" s="235" t="n"/>
      <c r="AB32" s="235" t="n"/>
      <c r="AC32" s="235" t="n"/>
      <c r="AD32" s="235" t="n"/>
      <c r="AE32" s="235" t="n"/>
      <c r="AF32" s="236" t="n"/>
      <c r="AG32" s="231" t="n"/>
      <c r="AH32" s="232" t="n"/>
      <c r="AI32" s="232" t="n"/>
      <c r="AJ32" s="232" t="n"/>
      <c r="AK32" s="232" t="n"/>
      <c r="AL32" s="232" t="n"/>
      <c r="AM32" s="232" t="n"/>
      <c r="AN32" s="232" t="n"/>
      <c r="AO32" s="233" t="n"/>
    </row>
    <row r="33" ht="15" customHeight="1">
      <c r="A33" s="23" t="inlineStr">
        <is>
          <t>ESCO #2</t>
        </is>
      </c>
      <c r="B33" s="44" t="inlineStr">
        <is>
          <t>ICD</t>
        </is>
      </c>
      <c r="C33" s="214" t="n"/>
      <c r="D33" s="215" t="n"/>
      <c r="E33" s="215" t="n"/>
      <c r="F33" s="215" t="n"/>
      <c r="G33" s="215" t="n"/>
      <c r="H33" s="215" t="n"/>
      <c r="I33" s="215" t="n"/>
      <c r="J33" s="215" t="n"/>
      <c r="K33" s="216" t="n"/>
      <c r="L33" s="231">
        <f>SUM(L6-C33)</f>
        <v/>
      </c>
      <c r="M33" s="232">
        <f>SUM(M6-D33)</f>
        <v/>
      </c>
      <c r="N33" s="232">
        <f>SUM(N6-E33)</f>
        <v/>
      </c>
      <c r="O33" s="232">
        <f>SUM(O6-F33)</f>
        <v/>
      </c>
      <c r="P33" s="232">
        <f>SUM(P6-G33)</f>
        <v/>
      </c>
      <c r="Q33" s="232">
        <f>SUM(Q6-H33)</f>
        <v/>
      </c>
      <c r="R33" s="232">
        <f>SUM(R6-I33)</f>
        <v/>
      </c>
      <c r="S33" s="232">
        <f>SUM(S6-J33)</f>
        <v/>
      </c>
      <c r="T33" s="233">
        <f>SUM(T6-K33)</f>
        <v/>
      </c>
      <c r="V33" s="23" t="inlineStr">
        <is>
          <t>LCIT</t>
        </is>
      </c>
      <c r="W33" s="24" t="inlineStr">
        <is>
          <t>TERMINAL</t>
        </is>
      </c>
      <c r="X33" s="234" t="n"/>
      <c r="Y33" s="235" t="n"/>
      <c r="Z33" s="235" t="n"/>
      <c r="AA33" s="235" t="n"/>
      <c r="AB33" s="235" t="n"/>
      <c r="AC33" s="235" t="n"/>
      <c r="AD33" s="235" t="n"/>
      <c r="AE33" s="235" t="n"/>
      <c r="AF33" s="236" t="n"/>
      <c r="AG33" s="231" t="n"/>
      <c r="AH33" s="232" t="n"/>
      <c r="AI33" s="232" t="n"/>
      <c r="AJ33" s="232" t="n"/>
      <c r="AK33" s="232" t="n"/>
      <c r="AL33" s="232" t="n"/>
      <c r="AM33" s="232" t="n"/>
      <c r="AN33" s="232" t="n"/>
      <c r="AO33" s="233" t="n"/>
    </row>
    <row r="34" ht="15" customHeight="1">
      <c r="A34" s="23" t="inlineStr">
        <is>
          <t>TIFFA</t>
        </is>
      </c>
      <c r="B34" s="44" t="inlineStr">
        <is>
          <t>ICD</t>
        </is>
      </c>
      <c r="C34" s="214" t="n">
        <v>20</v>
      </c>
      <c r="D34" s="215" t="n"/>
      <c r="E34" s="215" t="n"/>
      <c r="F34" s="215" t="n"/>
      <c r="G34" s="215" t="n"/>
      <c r="H34" s="215" t="n"/>
      <c r="I34" s="215" t="n"/>
      <c r="J34" s="215" t="n"/>
      <c r="K34" s="216" t="n"/>
      <c r="L34" s="237">
        <f>SUM(L7-C34)</f>
        <v/>
      </c>
      <c r="M34" s="232">
        <f>SUM(M7-D34)</f>
        <v/>
      </c>
      <c r="N34" s="232">
        <f>SUM(N7-E34)</f>
        <v/>
      </c>
      <c r="O34" s="232">
        <f>SUM(O7-F34)</f>
        <v/>
      </c>
      <c r="P34" s="232">
        <f>SUM(P7-G34)</f>
        <v/>
      </c>
      <c r="Q34" s="232">
        <f>SUM(Q7-H34)</f>
        <v/>
      </c>
      <c r="R34" s="232">
        <f>SUM(R7-I34)</f>
        <v/>
      </c>
      <c r="S34" s="232">
        <f>SUM(S7-J34)</f>
        <v/>
      </c>
      <c r="T34" s="233">
        <f>SUM(T7-K34)</f>
        <v/>
      </c>
      <c r="V34" s="23" t="inlineStr">
        <is>
          <t>HPT</t>
        </is>
      </c>
      <c r="W34" s="24" t="inlineStr">
        <is>
          <t>TERMINAL</t>
        </is>
      </c>
      <c r="X34" s="234" t="n"/>
      <c r="Y34" s="235" t="n"/>
      <c r="Z34" s="235" t="n"/>
      <c r="AA34" s="235" t="n"/>
      <c r="AB34" s="235" t="n"/>
      <c r="AC34" s="235" t="n"/>
      <c r="AD34" s="235" t="n"/>
      <c r="AE34" s="235" t="n"/>
      <c r="AF34" s="236" t="n"/>
      <c r="AG34" s="231" t="n"/>
      <c r="AH34" s="232" t="n"/>
      <c r="AI34" s="232" t="n"/>
      <c r="AJ34" s="232" t="n"/>
      <c r="AK34" s="232" t="n"/>
      <c r="AL34" s="232" t="n"/>
      <c r="AM34" s="232" t="n"/>
      <c r="AN34" s="232" t="n"/>
      <c r="AO34" s="233" t="n"/>
    </row>
    <row r="35" ht="15" customHeight="1">
      <c r="A35" s="43" t="inlineStr">
        <is>
          <t>SMART</t>
        </is>
      </c>
      <c r="B35" s="44" t="inlineStr">
        <is>
          <t>DEPOT</t>
        </is>
      </c>
      <c r="C35" s="238" t="n">
        <v>34</v>
      </c>
      <c r="D35" s="223" t="n"/>
      <c r="E35" s="223" t="n">
        <v>5</v>
      </c>
      <c r="F35" s="223" t="n"/>
      <c r="G35" s="223" t="n"/>
      <c r="H35" s="223" t="n"/>
      <c r="I35" s="223" t="n"/>
      <c r="J35" s="223" t="n"/>
      <c r="K35" s="239" t="n"/>
      <c r="L35" s="240">
        <f>SUM(L8-C35)</f>
        <v/>
      </c>
      <c r="M35" s="241">
        <f>SUM(M8-D35)</f>
        <v/>
      </c>
      <c r="N35" s="241">
        <f>SUM(N8-E35)</f>
        <v/>
      </c>
      <c r="O35" s="241">
        <f>SUM(O8-F35)</f>
        <v/>
      </c>
      <c r="P35" s="241">
        <f>SUM(P8-G35)</f>
        <v/>
      </c>
      <c r="Q35" s="241">
        <f>SUM(Q8-H35)</f>
        <v/>
      </c>
      <c r="R35" s="241">
        <f>SUM(R8-I35)</f>
        <v/>
      </c>
      <c r="S35" s="241">
        <f>SUM(S8-J35)</f>
        <v/>
      </c>
      <c r="T35" s="242">
        <f>SUM(T8-K35)</f>
        <v/>
      </c>
      <c r="V35" s="35" t="inlineStr">
        <is>
          <t>HAST</t>
        </is>
      </c>
      <c r="W35" s="36" t="inlineStr">
        <is>
          <t>DEPOT</t>
        </is>
      </c>
      <c r="X35" s="238" t="n">
        <v>68</v>
      </c>
      <c r="Y35" s="223" t="n"/>
      <c r="Z35" s="223" t="n">
        <v>16</v>
      </c>
      <c r="AA35" s="223" t="n">
        <v>1</v>
      </c>
      <c r="AB35" s="223" t="n">
        <v>36</v>
      </c>
      <c r="AC35" s="223" t="n"/>
      <c r="AD35" s="223" t="n"/>
      <c r="AE35" s="223" t="n"/>
      <c r="AF35" s="239" t="n"/>
      <c r="AG35" s="240">
        <f>SUM(AG8-X35)</f>
        <v/>
      </c>
      <c r="AH35" s="241">
        <f>SUM(AH8-Y35)</f>
        <v/>
      </c>
      <c r="AI35" s="241">
        <f>SUM(AI8-Z35)</f>
        <v/>
      </c>
      <c r="AJ35" s="241">
        <f>SUM(AJ8-AA35)</f>
        <v/>
      </c>
      <c r="AK35" s="241">
        <f>SUM(AK8-AB35)</f>
        <v/>
      </c>
      <c r="AL35" s="241">
        <f>SUM(AL8-AC35)</f>
        <v/>
      </c>
      <c r="AM35" s="241">
        <f>SUM(AM8-AD35)</f>
        <v/>
      </c>
      <c r="AN35" s="241">
        <f>SUM(AN8-AE35)</f>
        <v/>
      </c>
      <c r="AO35" s="242">
        <f>SUM(AO8-AF35)</f>
        <v/>
      </c>
    </row>
    <row r="36" ht="15" customHeight="1">
      <c r="A36" s="43" t="inlineStr">
        <is>
          <t>BC2</t>
        </is>
      </c>
      <c r="B36" s="44" t="inlineStr">
        <is>
          <t>DEPOT</t>
        </is>
      </c>
      <c r="C36" s="238" t="n">
        <v>148</v>
      </c>
      <c r="D36" s="223" t="n"/>
      <c r="E36" s="223" t="n">
        <v>133</v>
      </c>
      <c r="F36" s="223" t="n">
        <v>3</v>
      </c>
      <c r="G36" s="223" t="n">
        <v>14</v>
      </c>
      <c r="H36" s="223" t="n"/>
      <c r="I36" s="223" t="n"/>
      <c r="J36" s="223" t="n"/>
      <c r="K36" s="239" t="n"/>
      <c r="L36" s="240">
        <f>SUM(L9-C36)</f>
        <v/>
      </c>
      <c r="M36" s="241">
        <f>SUM(M9-D36)</f>
        <v/>
      </c>
      <c r="N36" s="241">
        <f>SUM(N9-E36)</f>
        <v/>
      </c>
      <c r="O36" s="241">
        <f>SUM(O9-F36)</f>
        <v/>
      </c>
      <c r="P36" s="241">
        <f>SUM(P9-G36)</f>
        <v/>
      </c>
      <c r="Q36" s="241">
        <f>SUM(Q9-H36)</f>
        <v/>
      </c>
      <c r="R36" s="241">
        <f>SUM(R9-I36)</f>
        <v/>
      </c>
      <c r="S36" s="241">
        <f>SUM(S9-J36)</f>
        <v/>
      </c>
      <c r="T36" s="242">
        <f>SUM(T9-K36)</f>
        <v/>
      </c>
      <c r="V36" s="35" t="inlineStr">
        <is>
          <t>CELLO</t>
        </is>
      </c>
      <c r="W36" s="36" t="inlineStr">
        <is>
          <t>DEPOT</t>
        </is>
      </c>
      <c r="X36" s="238" t="n">
        <v>4</v>
      </c>
      <c r="Y36" s="223" t="n"/>
      <c r="Z36" s="223" t="n"/>
      <c r="AA36" s="223" t="n"/>
      <c r="AB36" s="223" t="n"/>
      <c r="AC36" s="223" t="n"/>
      <c r="AD36" s="223" t="n"/>
      <c r="AE36" s="223" t="n"/>
      <c r="AF36" s="239" t="n"/>
      <c r="AG36" s="240">
        <f>SUM(AG9-X36)</f>
        <v/>
      </c>
      <c r="AH36" s="241">
        <f>SUM(AH9-Y36)</f>
        <v/>
      </c>
      <c r="AI36" s="241">
        <f>SUM(AI9-Z36)</f>
        <v/>
      </c>
      <c r="AJ36" s="241">
        <f>SUM(AJ9-AA36)</f>
        <v/>
      </c>
      <c r="AK36" s="241">
        <f>SUM(AK9-AB36)</f>
        <v/>
      </c>
      <c r="AL36" s="241">
        <f>SUM(AL9-AC36)</f>
        <v/>
      </c>
      <c r="AM36" s="241">
        <f>SUM(AM9-AD36)</f>
        <v/>
      </c>
      <c r="AN36" s="241">
        <f>SUM(AN9-AE36)</f>
        <v/>
      </c>
      <c r="AO36" s="242">
        <f>SUM(AO9-AF36)</f>
        <v/>
      </c>
    </row>
    <row r="37" ht="15" customHeight="1">
      <c r="A37" s="136" t="inlineStr">
        <is>
          <t>BMTP</t>
        </is>
      </c>
      <c r="B37" s="137" t="inlineStr">
        <is>
          <t>ICD</t>
        </is>
      </c>
      <c r="C37" s="234" t="n"/>
      <c r="D37" s="235" t="n"/>
      <c r="E37" s="235" t="n"/>
      <c r="F37" s="235" t="n"/>
      <c r="G37" s="235" t="n"/>
      <c r="H37" s="235" t="n"/>
      <c r="I37" s="235" t="n"/>
      <c r="J37" s="235" t="n"/>
      <c r="K37" s="236" t="n"/>
      <c r="L37" s="231">
        <f>SUM(L10-C37)</f>
        <v/>
      </c>
      <c r="M37" s="232">
        <f>SUM(M10-D37)</f>
        <v/>
      </c>
      <c r="N37" s="232">
        <f>SUM(N10-E37)</f>
        <v/>
      </c>
      <c r="O37" s="232">
        <f>SUM(O10-F37)</f>
        <v/>
      </c>
      <c r="P37" s="232">
        <f>SUM(P10-G37)</f>
        <v/>
      </c>
      <c r="Q37" s="232">
        <f>SUM(Q10-H37)</f>
        <v/>
      </c>
      <c r="R37" s="232">
        <f>SUM(R10-I37)</f>
        <v/>
      </c>
      <c r="S37" s="232">
        <f>SUM(S10-J37)</f>
        <v/>
      </c>
      <c r="T37" s="233">
        <f>SUM(T10-K37)</f>
        <v/>
      </c>
      <c r="V37" s="35" t="inlineStr">
        <is>
          <t>PW</t>
        </is>
      </c>
      <c r="W37" s="36" t="inlineStr">
        <is>
          <t>DEPOT</t>
        </is>
      </c>
      <c r="X37" s="238" t="n">
        <v>308</v>
      </c>
      <c r="Y37" s="223" t="n"/>
      <c r="Z37" s="223" t="n">
        <v>171</v>
      </c>
      <c r="AA37" s="223" t="n"/>
      <c r="AB37" s="223" t="n"/>
      <c r="AC37" s="223" t="n">
        <v>1</v>
      </c>
      <c r="AD37" s="223" t="n"/>
      <c r="AE37" s="223" t="n"/>
      <c r="AF37" s="239" t="n"/>
      <c r="AG37" s="240">
        <f>SUM(AG10-X37)</f>
        <v/>
      </c>
      <c r="AH37" s="241">
        <f>SUM(AH10-Y37)</f>
        <v/>
      </c>
      <c r="AI37" s="241">
        <f>SUM(AI10-Z37)</f>
        <v/>
      </c>
      <c r="AJ37" s="241">
        <f>SUM(AJ10-AA37)</f>
        <v/>
      </c>
      <c r="AK37" s="241">
        <f>SUM(AK10-AB37)</f>
        <v/>
      </c>
      <c r="AL37" s="241">
        <f>SUM(AL10-AC37)</f>
        <v/>
      </c>
      <c r="AM37" s="241">
        <f>SUM(AM10-AD37)</f>
        <v/>
      </c>
      <c r="AN37" s="241">
        <f>SUM(AN10-AE37)</f>
        <v/>
      </c>
      <c r="AO37" s="242">
        <f>SUM(AO10-AF37)</f>
        <v/>
      </c>
    </row>
    <row r="38" ht="15" customHeight="1">
      <c r="A38" s="136" t="inlineStr">
        <is>
          <t>SCT</t>
        </is>
      </c>
      <c r="B38" s="137" t="inlineStr">
        <is>
          <t>ICD</t>
        </is>
      </c>
      <c r="C38" s="234" t="n"/>
      <c r="D38" s="235" t="n"/>
      <c r="E38" s="235" t="n"/>
      <c r="F38" s="235" t="n"/>
      <c r="G38" s="235" t="n"/>
      <c r="H38" s="235" t="n"/>
      <c r="I38" s="235" t="n"/>
      <c r="J38" s="235" t="n"/>
      <c r="K38" s="236" t="n"/>
      <c r="L38" s="231">
        <f>SUM(L11-C38)</f>
        <v/>
      </c>
      <c r="M38" s="232">
        <f>SUM(M11-D38)</f>
        <v/>
      </c>
      <c r="N38" s="232">
        <f>SUM(N11-E38)</f>
        <v/>
      </c>
      <c r="O38" s="232">
        <f>SUM(O11-F38)</f>
        <v/>
      </c>
      <c r="P38" s="232">
        <f>SUM(P11-G38)</f>
        <v/>
      </c>
      <c r="Q38" s="232">
        <f>SUM(Q11-H38)</f>
        <v/>
      </c>
      <c r="R38" s="232">
        <f>SUM(R11-I38)</f>
        <v/>
      </c>
      <c r="S38" s="232">
        <f>SUM(S11-J38)</f>
        <v/>
      </c>
      <c r="T38" s="233">
        <f>SUM(T11-K38)</f>
        <v/>
      </c>
      <c r="V38" s="35" t="n"/>
      <c r="W38" s="36" t="n"/>
      <c r="X38" s="48" t="n"/>
      <c r="Y38" s="49" t="n"/>
      <c r="Z38" s="49" t="n"/>
      <c r="AA38" s="28" t="n"/>
      <c r="AB38" s="28" t="n"/>
      <c r="AC38" s="49" t="n"/>
      <c r="AD38" s="49" t="n"/>
      <c r="AE38" s="49" t="n"/>
      <c r="AF38" s="82" t="n"/>
      <c r="AG38" s="243">
        <f>SUM(AG11-X38)</f>
        <v/>
      </c>
      <c r="AH38" s="244">
        <f>SUM(AH11-Y38)</f>
        <v/>
      </c>
      <c r="AI38" s="244">
        <f>SUM(AI11-Z38)</f>
        <v/>
      </c>
      <c r="AJ38" s="244">
        <f>SUM(AJ11-AA38)</f>
        <v/>
      </c>
      <c r="AK38" s="244">
        <f>SUM(AK11-AB38)</f>
        <v/>
      </c>
      <c r="AL38" s="244">
        <f>SUM(AL11-AC38)</f>
        <v/>
      </c>
      <c r="AM38" s="244">
        <f>SUM(AM11-AD38)</f>
        <v/>
      </c>
      <c r="AN38" s="244">
        <f>SUM(AN11-AE38)</f>
        <v/>
      </c>
      <c r="AO38" s="245">
        <f>SUM(AO11-AF38)</f>
        <v/>
      </c>
    </row>
    <row r="39" ht="15" customHeight="1">
      <c r="A39" s="43" t="n"/>
      <c r="B39" s="44" t="n"/>
      <c r="C39" s="48" t="n"/>
      <c r="D39" s="49" t="n"/>
      <c r="E39" s="49" t="n"/>
      <c r="F39" s="49" t="n"/>
      <c r="G39" s="49" t="n"/>
      <c r="H39" s="49" t="n"/>
      <c r="I39" s="49" t="n"/>
      <c r="J39" s="49" t="n"/>
      <c r="K39" s="82" t="n"/>
      <c r="L39" s="243">
        <f>SUM(L12-C39)</f>
        <v/>
      </c>
      <c r="M39" s="244">
        <f>SUM(M12-D39)</f>
        <v/>
      </c>
      <c r="N39" s="244">
        <f>SUM(N12-E39)</f>
        <v/>
      </c>
      <c r="O39" s="244">
        <f>SUM(O12-F39)</f>
        <v/>
      </c>
      <c r="P39" s="244">
        <f>SUM(P12-G39)</f>
        <v/>
      </c>
      <c r="Q39" s="244">
        <f>SUM(Q12-H39)</f>
        <v/>
      </c>
      <c r="R39" s="244">
        <f>SUM(R12-I39)</f>
        <v/>
      </c>
      <c r="S39" s="244">
        <f>SUM(S12-J39)</f>
        <v/>
      </c>
      <c r="T39" s="245">
        <f>SUM(T12-K39)</f>
        <v/>
      </c>
      <c r="V39" s="35" t="n"/>
      <c r="W39" s="36" t="n"/>
      <c r="X39" s="48" t="n"/>
      <c r="Y39" s="49" t="n"/>
      <c r="Z39" s="49" t="n"/>
      <c r="AA39" s="49" t="n"/>
      <c r="AB39" s="49" t="n"/>
      <c r="AC39" s="49" t="n"/>
      <c r="AD39" s="49" t="n"/>
      <c r="AE39" s="49" t="n"/>
      <c r="AF39" s="82" t="n"/>
      <c r="AG39" s="243">
        <f>SUM(AG12-X39)</f>
        <v/>
      </c>
      <c r="AH39" s="244">
        <f>SUM(AH12-Y39)</f>
        <v/>
      </c>
      <c r="AI39" s="244">
        <f>SUM(AI12-Z39)</f>
        <v/>
      </c>
      <c r="AJ39" s="244">
        <f>SUM(AJ12-AA39)</f>
        <v/>
      </c>
      <c r="AK39" s="244">
        <f>SUM(AK12-AB39)</f>
        <v/>
      </c>
      <c r="AL39" s="244">
        <f>SUM(AL12-AC39)</f>
        <v/>
      </c>
      <c r="AM39" s="244">
        <f>SUM(AM12-AD39)</f>
        <v/>
      </c>
      <c r="AN39" s="244">
        <f>SUM(AN12-AE39)</f>
        <v/>
      </c>
      <c r="AO39" s="245">
        <f>SUM(AO12-AF39)</f>
        <v/>
      </c>
      <c r="AS39" s="3" t="inlineStr">
        <is>
          <t xml:space="preserve">   </t>
        </is>
      </c>
    </row>
    <row r="40" ht="15" customHeight="1">
      <c r="A40" s="45" t="inlineStr">
        <is>
          <t>LEASE IN</t>
        </is>
      </c>
      <c r="B40" s="46" t="n"/>
      <c r="C40" s="84" t="n"/>
      <c r="D40" s="85" t="n"/>
      <c r="E40" s="85" t="n"/>
      <c r="F40" s="85" t="n"/>
      <c r="G40" s="85" t="n"/>
      <c r="H40" s="85" t="n"/>
      <c r="I40" s="85" t="n"/>
      <c r="J40" s="85" t="n"/>
      <c r="K40" s="86" t="n"/>
      <c r="L40" s="246">
        <f>SUM(L13-C40)</f>
        <v/>
      </c>
      <c r="M40" s="247">
        <f>SUM(M13-D40)</f>
        <v/>
      </c>
      <c r="N40" s="247">
        <f>SUM(N13-E40)</f>
        <v/>
      </c>
      <c r="O40" s="247">
        <f>SUM(O13-F40)</f>
        <v/>
      </c>
      <c r="P40" s="247">
        <f>SUM(P13-G40)</f>
        <v/>
      </c>
      <c r="Q40" s="247">
        <f>SUM(Q13-H40)</f>
        <v/>
      </c>
      <c r="R40" s="247">
        <f>SUM(R13-I40)</f>
        <v/>
      </c>
      <c r="S40" s="247">
        <f>SUM(S13-J40)</f>
        <v/>
      </c>
      <c r="T40" s="248">
        <f>SUM(T13-K40)</f>
        <v/>
      </c>
      <c r="V40" s="45" t="inlineStr">
        <is>
          <t>LEASE IN</t>
        </is>
      </c>
      <c r="W40" s="46" t="n"/>
      <c r="X40" s="84" t="n"/>
      <c r="Y40" s="85" t="n"/>
      <c r="Z40" s="85" t="n"/>
      <c r="AA40" s="85" t="n"/>
      <c r="AB40" s="85" t="n"/>
      <c r="AC40" s="85" t="n"/>
      <c r="AD40" s="85" t="n"/>
      <c r="AE40" s="85" t="n"/>
      <c r="AF40" s="86" t="n"/>
      <c r="AG40" s="243">
        <f>SUM(AG13-X40)</f>
        <v/>
      </c>
      <c r="AH40" s="244">
        <f>SUM(AH13-Y40)</f>
        <v/>
      </c>
      <c r="AI40" s="244">
        <f>SUM(AI13-Z40)</f>
        <v/>
      </c>
      <c r="AJ40" s="244">
        <f>SUM(AJ13-AA40)</f>
        <v/>
      </c>
      <c r="AK40" s="244">
        <f>SUM(AK13-AB40)</f>
        <v/>
      </c>
      <c r="AL40" s="244">
        <f>SUM(AL13-AC40)</f>
        <v/>
      </c>
      <c r="AM40" s="244">
        <f>SUM(AM13-AD40)</f>
        <v/>
      </c>
      <c r="AN40" s="244">
        <f>SUM(AN13-AE40)</f>
        <v/>
      </c>
      <c r="AO40" s="245">
        <f>SUM(AO13-AF40)</f>
        <v/>
      </c>
    </row>
    <row r="41" ht="15" customHeight="1" thickBot="1">
      <c r="A41" s="193" t="n"/>
      <c r="B41" s="194" t="n"/>
      <c r="C41" s="70">
        <f>SUM(C31:C40)</f>
        <v/>
      </c>
      <c r="D41" s="71">
        <f>SUM(D31:D40)</f>
        <v/>
      </c>
      <c r="E41" s="71">
        <f>SUM(E31:E40)</f>
        <v/>
      </c>
      <c r="F41" s="71">
        <f>SUM(F31:F40)</f>
        <v/>
      </c>
      <c r="G41" s="71">
        <f>SUM(G31:G40)</f>
        <v/>
      </c>
      <c r="H41" s="71">
        <f>SUM(H31:H40)</f>
        <v/>
      </c>
      <c r="I41" s="71">
        <f>SUM(I31:I40)</f>
        <v/>
      </c>
      <c r="J41" s="71">
        <f>SUM(J31:J40)</f>
        <v/>
      </c>
      <c r="K41" s="87">
        <f>SUM(K31:K40)</f>
        <v/>
      </c>
      <c r="L41" s="57">
        <f>SUM(L31:L40)</f>
        <v/>
      </c>
      <c r="M41" s="58">
        <f>SUM(M31:M40)</f>
        <v/>
      </c>
      <c r="N41" s="58">
        <f>SUM(N31:N40)</f>
        <v/>
      </c>
      <c r="O41" s="58">
        <f>SUM(O31:O40)</f>
        <v/>
      </c>
      <c r="P41" s="58">
        <f>SUM(P31:P40)</f>
        <v/>
      </c>
      <c r="Q41" s="58">
        <f>SUM(Q31:Q40)</f>
        <v/>
      </c>
      <c r="R41" s="58">
        <f>SUM(R31:R40)</f>
        <v/>
      </c>
      <c r="S41" s="58">
        <f>SUM(S31:S40)</f>
        <v/>
      </c>
      <c r="T41" s="59">
        <f>SUM(T31:T40)</f>
        <v/>
      </c>
      <c r="U41" s="9" t="n"/>
      <c r="V41" s="193" t="inlineStr">
        <is>
          <t>TOTAL AT LCH</t>
        </is>
      </c>
      <c r="W41" s="194" t="n"/>
      <c r="X41" s="70">
        <f>SUM(X31:X40)</f>
        <v/>
      </c>
      <c r="Y41" s="71">
        <f>SUM(Y31:Y40)</f>
        <v/>
      </c>
      <c r="Z41" s="71">
        <f>SUM(Z31:Z40)</f>
        <v/>
      </c>
      <c r="AA41" s="71">
        <f>SUM(AA31:AA40)</f>
        <v/>
      </c>
      <c r="AB41" s="71">
        <f>SUM(AB31:AB40)</f>
        <v/>
      </c>
      <c r="AC41" s="71">
        <f>SUM(AC31:AC40)</f>
        <v/>
      </c>
      <c r="AD41" s="71">
        <f>SUM(AD31:AD40)</f>
        <v/>
      </c>
      <c r="AE41" s="71">
        <f>SUM(AE31:AE40)</f>
        <v/>
      </c>
      <c r="AF41" s="87">
        <f>SUM(AF31:AF40)</f>
        <v/>
      </c>
      <c r="AG41" s="57">
        <f>SUM(AG31:AG40)</f>
        <v/>
      </c>
      <c r="AH41" s="58">
        <f>SUM(AH31:AH40)</f>
        <v/>
      </c>
      <c r="AI41" s="58">
        <f>SUM(AI31:AI40)</f>
        <v/>
      </c>
      <c r="AJ41" s="58">
        <f>SUM(AJ31:AJ40)</f>
        <v/>
      </c>
      <c r="AK41" s="58">
        <f>SUM(AK31:AK40)</f>
        <v/>
      </c>
      <c r="AL41" s="58">
        <f>SUM(AL31:AL40)</f>
        <v/>
      </c>
      <c r="AM41" s="58">
        <f>SUM(AM31:AM40)</f>
        <v/>
      </c>
      <c r="AN41" s="58">
        <f>SUM(AN31:AN40)</f>
        <v/>
      </c>
      <c r="AO41" s="59">
        <f>SUM(AO31:AO40)</f>
        <v/>
      </c>
    </row>
    <row r="42" ht="9.949999999999999" customHeight="1" thickBot="1">
      <c r="A42" s="60" t="n"/>
      <c r="AO42" s="61" t="n"/>
    </row>
    <row r="43" ht="15" customHeight="1">
      <c r="A43" s="185" t="inlineStr">
        <is>
          <t>LOCATION</t>
        </is>
      </c>
      <c r="B43" s="186" t="n"/>
      <c r="C43" s="151" t="inlineStr">
        <is>
          <t>BOOKING (BKK) WK2ND</t>
        </is>
      </c>
      <c r="D43" s="187" t="n"/>
      <c r="E43" s="187" t="n"/>
      <c r="F43" s="187" t="n"/>
      <c r="G43" s="187" t="n"/>
      <c r="H43" s="188" t="n"/>
      <c r="I43" s="197" t="inlineStr">
        <is>
          <t>19-25/10/2026</t>
        </is>
      </c>
      <c r="J43" s="187" t="n"/>
      <c r="K43" s="190" t="n"/>
      <c r="L43" s="143" t="inlineStr">
        <is>
          <t>STOCK BALANCE END (BKK) WK2ND</t>
        </is>
      </c>
      <c r="M43" s="187" t="n"/>
      <c r="N43" s="187" t="n"/>
      <c r="O43" s="187" t="n"/>
      <c r="P43" s="187" t="n"/>
      <c r="Q43" s="187" t="n"/>
      <c r="R43" s="187" t="n"/>
      <c r="S43" s="187" t="n"/>
      <c r="T43" s="188" t="n"/>
      <c r="U43" s="2" t="n"/>
      <c r="V43" s="185" t="inlineStr">
        <is>
          <t>LOCATION</t>
        </is>
      </c>
      <c r="W43" s="186" t="n"/>
      <c r="X43" s="151" t="inlineStr">
        <is>
          <t>BOOKING (LCH) WK2ND</t>
        </is>
      </c>
      <c r="Y43" s="187" t="n"/>
      <c r="Z43" s="187" t="n"/>
      <c r="AA43" s="187" t="n"/>
      <c r="AB43" s="187" t="n"/>
      <c r="AC43" s="188" t="n"/>
      <c r="AD43" s="197" t="inlineStr">
        <is>
          <t>19-25/10/2026</t>
        </is>
      </c>
      <c r="AE43" s="187" t="n"/>
      <c r="AF43" s="190" t="n"/>
      <c r="AG43" s="143" t="inlineStr">
        <is>
          <t>STOCK BALANCE END (LCH) WK2ND</t>
        </is>
      </c>
      <c r="AH43" s="187" t="n"/>
      <c r="AI43" s="187" t="n"/>
      <c r="AJ43" s="187" t="n"/>
      <c r="AK43" s="187" t="n"/>
      <c r="AL43" s="187" t="n"/>
      <c r="AM43" s="187" t="n"/>
      <c r="AN43" s="187" t="n"/>
      <c r="AO43" s="188" t="n"/>
    </row>
    <row r="44" ht="15" customHeight="1" thickBot="1">
      <c r="A44" s="191" t="n"/>
      <c r="B44" s="192" t="n"/>
      <c r="C44" s="4" t="inlineStr">
        <is>
          <t>22GP</t>
        </is>
      </c>
      <c r="D44" s="5" t="inlineStr">
        <is>
          <t>42GP</t>
        </is>
      </c>
      <c r="E44" s="5" t="inlineStr">
        <is>
          <t>45GP</t>
        </is>
      </c>
      <c r="F44" s="5" t="inlineStr">
        <is>
          <t>22RE</t>
        </is>
      </c>
      <c r="G44" s="5" t="inlineStr">
        <is>
          <t>45RE</t>
        </is>
      </c>
      <c r="H44" s="5" t="inlineStr">
        <is>
          <t>22UT</t>
        </is>
      </c>
      <c r="I44" s="5" t="inlineStr">
        <is>
          <t>42UT</t>
        </is>
      </c>
      <c r="J44" s="5" t="inlineStr">
        <is>
          <t>22PC</t>
        </is>
      </c>
      <c r="K44" s="6" t="inlineStr">
        <is>
          <t>42PC</t>
        </is>
      </c>
      <c r="L44" s="7" t="inlineStr">
        <is>
          <t>22GP</t>
        </is>
      </c>
      <c r="M44" s="5" t="inlineStr">
        <is>
          <t>42GP</t>
        </is>
      </c>
      <c r="N44" s="5" t="inlineStr">
        <is>
          <t>45GP</t>
        </is>
      </c>
      <c r="O44" s="5" t="inlineStr">
        <is>
          <t>22RE</t>
        </is>
      </c>
      <c r="P44" s="5" t="inlineStr">
        <is>
          <t>45RE</t>
        </is>
      </c>
      <c r="Q44" s="5" t="inlineStr">
        <is>
          <t>22UT</t>
        </is>
      </c>
      <c r="R44" s="5" t="inlineStr">
        <is>
          <t>42UT</t>
        </is>
      </c>
      <c r="S44" s="5" t="inlineStr">
        <is>
          <t>22PC</t>
        </is>
      </c>
      <c r="T44" s="8" t="inlineStr">
        <is>
          <t>42PC</t>
        </is>
      </c>
      <c r="U44" s="9" t="n"/>
      <c r="V44" s="191" t="n"/>
      <c r="W44" s="192" t="n"/>
      <c r="X44" s="4" t="inlineStr">
        <is>
          <t>22GP</t>
        </is>
      </c>
      <c r="Y44" s="5" t="inlineStr">
        <is>
          <t>42GP</t>
        </is>
      </c>
      <c r="Z44" s="5" t="inlineStr">
        <is>
          <t>45GP</t>
        </is>
      </c>
      <c r="AA44" s="5" t="inlineStr">
        <is>
          <t>22RE</t>
        </is>
      </c>
      <c r="AB44" s="5" t="inlineStr">
        <is>
          <t>45RE</t>
        </is>
      </c>
      <c r="AC44" s="5" t="inlineStr">
        <is>
          <t>22UT</t>
        </is>
      </c>
      <c r="AD44" s="5" t="inlineStr">
        <is>
          <t>42UT</t>
        </is>
      </c>
      <c r="AE44" s="5" t="inlineStr">
        <is>
          <t>22PC</t>
        </is>
      </c>
      <c r="AF44" s="6" t="inlineStr">
        <is>
          <t>42PC</t>
        </is>
      </c>
      <c r="AG44" s="7" t="inlineStr">
        <is>
          <t>22GP</t>
        </is>
      </c>
      <c r="AH44" s="5" t="inlineStr">
        <is>
          <t>42GP</t>
        </is>
      </c>
      <c r="AI44" s="5" t="inlineStr">
        <is>
          <t>45GP</t>
        </is>
      </c>
      <c r="AJ44" s="5" t="inlineStr">
        <is>
          <t>22RE</t>
        </is>
      </c>
      <c r="AK44" s="5" t="inlineStr">
        <is>
          <t>45RE</t>
        </is>
      </c>
      <c r="AL44" s="5" t="inlineStr">
        <is>
          <t>22UT</t>
        </is>
      </c>
      <c r="AM44" s="5" t="inlineStr">
        <is>
          <t>42UT</t>
        </is>
      </c>
      <c r="AN44" s="5" t="inlineStr">
        <is>
          <t>22PC</t>
        </is>
      </c>
      <c r="AO44" s="8" t="inlineStr">
        <is>
          <t>42PC</t>
        </is>
      </c>
    </row>
    <row r="45" ht="15" customHeight="1">
      <c r="A45" s="72" t="inlineStr">
        <is>
          <t>PAT</t>
        </is>
      </c>
      <c r="B45" s="73" t="inlineStr">
        <is>
          <t>TERMINAL</t>
        </is>
      </c>
      <c r="C45" s="206" t="n">
        <v>46</v>
      </c>
      <c r="D45" s="207" t="n"/>
      <c r="E45" s="207" t="n">
        <v>37</v>
      </c>
      <c r="F45" s="207" t="n"/>
      <c r="G45" s="207" t="n"/>
      <c r="H45" s="207" t="n"/>
      <c r="I45" s="207" t="n"/>
      <c r="J45" s="207" t="n"/>
      <c r="K45" s="208" t="n"/>
      <c r="L45" s="225">
        <f>SUM(L31-C45)</f>
        <v/>
      </c>
      <c r="M45" s="226">
        <f>SUM(M31-D45)</f>
        <v/>
      </c>
      <c r="N45" s="249">
        <f>SUM(N31-E45)</f>
        <v/>
      </c>
      <c r="O45" s="226">
        <f>SUM(O31-F45)</f>
        <v/>
      </c>
      <c r="P45" s="226">
        <f>SUM(P31-G45)</f>
        <v/>
      </c>
      <c r="Q45" s="226">
        <f>SUM(Q31-H45)</f>
        <v/>
      </c>
      <c r="R45" s="226">
        <f>SUM(R31-I45)</f>
        <v/>
      </c>
      <c r="S45" s="226">
        <f>SUM(S31-J45)</f>
        <v/>
      </c>
      <c r="T45" s="227">
        <f>SUM(T31-K45)</f>
        <v/>
      </c>
      <c r="V45" s="13" t="inlineStr">
        <is>
          <t>LCMT</t>
        </is>
      </c>
      <c r="W45" s="14" t="inlineStr">
        <is>
          <t>TERMINAL</t>
        </is>
      </c>
      <c r="X45" s="228" t="n"/>
      <c r="Y45" s="229" t="n"/>
      <c r="Z45" s="229" t="n"/>
      <c r="AA45" s="229" t="n"/>
      <c r="AB45" s="229" t="n"/>
      <c r="AC45" s="229" t="n"/>
      <c r="AD45" s="229" t="n"/>
      <c r="AE45" s="229" t="n"/>
      <c r="AF45" s="230" t="n"/>
      <c r="AG45" s="225" t="n"/>
      <c r="AH45" s="226" t="n"/>
      <c r="AI45" s="226" t="n"/>
      <c r="AJ45" s="226" t="n"/>
      <c r="AK45" s="226" t="n"/>
      <c r="AL45" s="226" t="n"/>
      <c r="AM45" s="226" t="n"/>
      <c r="AN45" s="226" t="n"/>
      <c r="AO45" s="227" t="n"/>
    </row>
    <row r="46" ht="15" customHeight="1">
      <c r="A46" s="43" t="inlineStr">
        <is>
          <t>UNITHAI</t>
        </is>
      </c>
      <c r="B46" s="44" t="inlineStr">
        <is>
          <t>TERMINAL</t>
        </is>
      </c>
      <c r="C46" s="214" t="n"/>
      <c r="D46" s="215" t="n"/>
      <c r="E46" s="215" t="n"/>
      <c r="F46" s="215" t="n"/>
      <c r="G46" s="215" t="n"/>
      <c r="H46" s="215" t="n"/>
      <c r="I46" s="215" t="n"/>
      <c r="J46" s="215" t="n"/>
      <c r="K46" s="216" t="n"/>
      <c r="L46" s="231">
        <f>SUM(L32-C46)</f>
        <v/>
      </c>
      <c r="M46" s="232">
        <f>SUM(M32-D46)</f>
        <v/>
      </c>
      <c r="N46" s="232">
        <f>SUM(N32-E46)</f>
        <v/>
      </c>
      <c r="O46" s="232">
        <f>SUM(O32-F46)</f>
        <v/>
      </c>
      <c r="P46" s="232">
        <f>SUM(P32-G46)</f>
        <v/>
      </c>
      <c r="Q46" s="232">
        <f>SUM(Q32-H46)</f>
        <v/>
      </c>
      <c r="R46" s="232">
        <f>SUM(R32-I46)</f>
        <v/>
      </c>
      <c r="S46" s="232">
        <f>SUM(S32-J46)</f>
        <v/>
      </c>
      <c r="T46" s="233">
        <f>SUM(T32-K46)</f>
        <v/>
      </c>
      <c r="V46" s="23" t="inlineStr">
        <is>
          <t>ESCO</t>
        </is>
      </c>
      <c r="W46" s="24" t="inlineStr">
        <is>
          <t>TERMINAL</t>
        </is>
      </c>
      <c r="X46" s="234" t="n"/>
      <c r="Y46" s="235" t="n"/>
      <c r="Z46" s="235" t="n"/>
      <c r="AA46" s="235" t="n"/>
      <c r="AB46" s="235" t="n"/>
      <c r="AC46" s="235" t="n"/>
      <c r="AD46" s="235" t="n"/>
      <c r="AE46" s="235" t="n"/>
      <c r="AF46" s="236" t="n"/>
      <c r="AG46" s="231" t="n"/>
      <c r="AH46" s="232" t="n"/>
      <c r="AI46" s="232" t="n"/>
      <c r="AJ46" s="232" t="n"/>
      <c r="AK46" s="232" t="n"/>
      <c r="AL46" s="232" t="n"/>
      <c r="AM46" s="232" t="n"/>
      <c r="AN46" s="232" t="n"/>
      <c r="AO46" s="233" t="n"/>
    </row>
    <row r="47" ht="15" customHeight="1">
      <c r="A47" s="23" t="inlineStr">
        <is>
          <t>ESCO #2</t>
        </is>
      </c>
      <c r="B47" s="44" t="inlineStr">
        <is>
          <t>ICD</t>
        </is>
      </c>
      <c r="C47" s="214" t="n"/>
      <c r="D47" s="215" t="n"/>
      <c r="E47" s="215" t="n"/>
      <c r="F47" s="215" t="n"/>
      <c r="G47" s="215" t="n"/>
      <c r="H47" s="215" t="n"/>
      <c r="I47" s="215" t="n"/>
      <c r="J47" s="215" t="n"/>
      <c r="K47" s="216" t="n"/>
      <c r="L47" s="231">
        <f>SUM(L33-C47)</f>
        <v/>
      </c>
      <c r="M47" s="232">
        <f>SUM(M33-D47)</f>
        <v/>
      </c>
      <c r="N47" s="232">
        <f>SUM(N33-E47)</f>
        <v/>
      </c>
      <c r="O47" s="232">
        <f>SUM(O33-F47)</f>
        <v/>
      </c>
      <c r="P47" s="232">
        <f>SUM(P33-G47)</f>
        <v/>
      </c>
      <c r="Q47" s="232">
        <f>SUM(Q33-H47)</f>
        <v/>
      </c>
      <c r="R47" s="232">
        <f>SUM(R33-I47)</f>
        <v/>
      </c>
      <c r="S47" s="232">
        <f>SUM(S33-J47)</f>
        <v/>
      </c>
      <c r="T47" s="233">
        <f>SUM(T33-K47)</f>
        <v/>
      </c>
      <c r="V47" s="23" t="inlineStr">
        <is>
          <t>LCIT</t>
        </is>
      </c>
      <c r="W47" s="24" t="inlineStr">
        <is>
          <t>TERMINAL</t>
        </is>
      </c>
      <c r="X47" s="234" t="n"/>
      <c r="Y47" s="235" t="n"/>
      <c r="Z47" s="235" t="n"/>
      <c r="AA47" s="235" t="n"/>
      <c r="AB47" s="235" t="n"/>
      <c r="AC47" s="235" t="n"/>
      <c r="AD47" s="235" t="n"/>
      <c r="AE47" s="235" t="n"/>
      <c r="AF47" s="236" t="n"/>
      <c r="AG47" s="231" t="n"/>
      <c r="AH47" s="232" t="n"/>
      <c r="AI47" s="232" t="n"/>
      <c r="AJ47" s="232" t="n"/>
      <c r="AK47" s="232" t="n"/>
      <c r="AL47" s="232" t="n"/>
      <c r="AM47" s="232" t="n"/>
      <c r="AN47" s="232" t="n"/>
      <c r="AO47" s="233" t="n"/>
    </row>
    <row r="48" ht="15" customHeight="1">
      <c r="A48" s="23" t="inlineStr">
        <is>
          <t>TIFFA</t>
        </is>
      </c>
      <c r="B48" s="44" t="inlineStr">
        <is>
          <t>ICD</t>
        </is>
      </c>
      <c r="C48" s="214" t="n">
        <v>20</v>
      </c>
      <c r="D48" s="215" t="n"/>
      <c r="E48" s="215" t="n"/>
      <c r="F48" s="215" t="n"/>
      <c r="G48" s="215" t="n"/>
      <c r="H48" s="215" t="n"/>
      <c r="I48" s="215" t="n"/>
      <c r="J48" s="215" t="n"/>
      <c r="K48" s="216" t="n"/>
      <c r="L48" s="237">
        <f>SUM(L34-C48)</f>
        <v/>
      </c>
      <c r="M48" s="232">
        <f>SUM(M34-D48)</f>
        <v/>
      </c>
      <c r="N48" s="232">
        <f>SUM(N34-E48)</f>
        <v/>
      </c>
      <c r="O48" s="232">
        <f>SUM(O34-F48)</f>
        <v/>
      </c>
      <c r="P48" s="232">
        <f>SUM(P34-G48)</f>
        <v/>
      </c>
      <c r="Q48" s="232">
        <f>SUM(Q34-H48)</f>
        <v/>
      </c>
      <c r="R48" s="232">
        <f>SUM(R34-I48)</f>
        <v/>
      </c>
      <c r="S48" s="232">
        <f>SUM(S34-J48)</f>
        <v/>
      </c>
      <c r="T48" s="233">
        <f>SUM(T34-K48)</f>
        <v/>
      </c>
      <c r="V48" s="23" t="inlineStr">
        <is>
          <t>HPT</t>
        </is>
      </c>
      <c r="W48" s="24" t="inlineStr">
        <is>
          <t>TERMINAL</t>
        </is>
      </c>
      <c r="X48" s="234" t="n"/>
      <c r="Y48" s="235" t="n"/>
      <c r="Z48" s="235" t="n"/>
      <c r="AA48" s="235" t="n"/>
      <c r="AB48" s="235" t="n"/>
      <c r="AC48" s="235" t="n"/>
      <c r="AD48" s="235" t="n"/>
      <c r="AE48" s="235" t="n"/>
      <c r="AF48" s="236" t="n"/>
      <c r="AG48" s="231" t="n"/>
      <c r="AH48" s="232" t="n"/>
      <c r="AI48" s="232" t="n"/>
      <c r="AJ48" s="232" t="n"/>
      <c r="AK48" s="232" t="n"/>
      <c r="AL48" s="232" t="n"/>
      <c r="AM48" s="232" t="n"/>
      <c r="AN48" s="232" t="n"/>
      <c r="AO48" s="233" t="n"/>
    </row>
    <row r="49" ht="15" customHeight="1">
      <c r="A49" s="43" t="inlineStr">
        <is>
          <t>SMART</t>
        </is>
      </c>
      <c r="B49" s="44" t="inlineStr">
        <is>
          <t>DEPOT</t>
        </is>
      </c>
      <c r="C49" s="238" t="n">
        <v>20</v>
      </c>
      <c r="D49" s="223" t="n"/>
      <c r="E49" s="223" t="n">
        <v>15</v>
      </c>
      <c r="F49" s="223" t="n"/>
      <c r="G49" s="223" t="n"/>
      <c r="H49" s="223" t="n"/>
      <c r="I49" s="223" t="n"/>
      <c r="J49" s="223" t="n"/>
      <c r="K49" s="239" t="n"/>
      <c r="L49" s="240">
        <f>SUM(L35-C49)</f>
        <v/>
      </c>
      <c r="M49" s="241">
        <f>SUM(M35-D49)</f>
        <v/>
      </c>
      <c r="N49" s="241">
        <f>SUM(N35-E49)</f>
        <v/>
      </c>
      <c r="O49" s="241">
        <f>SUM(O35-F49)</f>
        <v/>
      </c>
      <c r="P49" s="241">
        <f>SUM(P35-G49)</f>
        <v/>
      </c>
      <c r="Q49" s="241">
        <f>SUM(Q35-H49)</f>
        <v/>
      </c>
      <c r="R49" s="241">
        <f>SUM(R35-I49)</f>
        <v/>
      </c>
      <c r="S49" s="241">
        <f>SUM(S35-J49)</f>
        <v/>
      </c>
      <c r="T49" s="242">
        <f>SUM(T35-K49)</f>
        <v/>
      </c>
      <c r="V49" s="35" t="inlineStr">
        <is>
          <t>HAST</t>
        </is>
      </c>
      <c r="W49" s="36" t="inlineStr">
        <is>
          <t>DEPOT</t>
        </is>
      </c>
      <c r="X49" s="238" t="n">
        <v>113</v>
      </c>
      <c r="Y49" s="223" t="n">
        <v>2</v>
      </c>
      <c r="Z49" s="223" t="n">
        <v>31</v>
      </c>
      <c r="AA49" s="223" t="n">
        <v>1</v>
      </c>
      <c r="AB49" s="223" t="n">
        <v>19</v>
      </c>
      <c r="AC49" s="223" t="n"/>
      <c r="AD49" s="223" t="n"/>
      <c r="AE49" s="223" t="n"/>
      <c r="AF49" s="239" t="n"/>
      <c r="AG49" s="240">
        <f>SUM(AG35-X49)</f>
        <v/>
      </c>
      <c r="AH49" s="250">
        <f>SUM(AH35-Y49)</f>
        <v/>
      </c>
      <c r="AI49" s="241">
        <f>SUM(AI35-Z49)</f>
        <v/>
      </c>
      <c r="AJ49" s="241">
        <f>SUM(AJ35-AA49)</f>
        <v/>
      </c>
      <c r="AK49" s="241">
        <f>SUM(AK35-AB49)</f>
        <v/>
      </c>
      <c r="AL49" s="241">
        <f>SUM(AL35-AC49)</f>
        <v/>
      </c>
      <c r="AM49" s="241">
        <f>SUM(AM35-AD49)</f>
        <v/>
      </c>
      <c r="AN49" s="241">
        <f>SUM(AN35-AE49)</f>
        <v/>
      </c>
      <c r="AO49" s="242">
        <f>SUM(AO35-AF49)</f>
        <v/>
      </c>
    </row>
    <row r="50" ht="15" customHeight="1">
      <c r="A50" s="43" t="inlineStr">
        <is>
          <t>BC2</t>
        </is>
      </c>
      <c r="B50" s="44" t="inlineStr">
        <is>
          <t>DEPOT</t>
        </is>
      </c>
      <c r="C50" s="238" t="n">
        <v>243</v>
      </c>
      <c r="D50" s="223" t="n">
        <v>1</v>
      </c>
      <c r="E50" s="223" t="n">
        <v>183</v>
      </c>
      <c r="F50" s="223" t="n">
        <v>6</v>
      </c>
      <c r="G50" s="223" t="n">
        <v>37</v>
      </c>
      <c r="H50" s="223" t="n"/>
      <c r="I50" s="223" t="n"/>
      <c r="J50" s="223" t="n"/>
      <c r="K50" s="239" t="n"/>
      <c r="L50" s="240">
        <f>SUM(L36-C50)</f>
        <v/>
      </c>
      <c r="M50" s="241">
        <f>SUM(M36-D50)</f>
        <v/>
      </c>
      <c r="N50" s="241">
        <f>SUM(N36-E50)</f>
        <v/>
      </c>
      <c r="O50" s="241">
        <f>SUM(O36-F50)</f>
        <v/>
      </c>
      <c r="P50" s="250">
        <f>SUM(P36-G50)</f>
        <v/>
      </c>
      <c r="Q50" s="241">
        <f>SUM(Q36-H50)</f>
        <v/>
      </c>
      <c r="R50" s="241">
        <f>SUM(R36-I50)</f>
        <v/>
      </c>
      <c r="S50" s="241">
        <f>SUM(S36-J50)</f>
        <v/>
      </c>
      <c r="T50" s="242">
        <f>SUM(T36-K50)</f>
        <v/>
      </c>
      <c r="V50" s="35" t="inlineStr">
        <is>
          <t>CELLO</t>
        </is>
      </c>
      <c r="W50" s="36" t="inlineStr">
        <is>
          <t>DEPOT</t>
        </is>
      </c>
      <c r="X50" s="238" t="n"/>
      <c r="Y50" s="223" t="n"/>
      <c r="Z50" s="223" t="n">
        <v>1</v>
      </c>
      <c r="AA50" s="223" t="n"/>
      <c r="AB50" s="223" t="n"/>
      <c r="AC50" s="223" t="n"/>
      <c r="AD50" s="223" t="n"/>
      <c r="AE50" s="223" t="n"/>
      <c r="AF50" s="239" t="n"/>
      <c r="AG50" s="240">
        <f>SUM(AG36-X50)</f>
        <v/>
      </c>
      <c r="AH50" s="241">
        <f>SUM(AH36-Y50)</f>
        <v/>
      </c>
      <c r="AI50" s="241">
        <f>SUM(AI36-Z50)</f>
        <v/>
      </c>
      <c r="AJ50" s="241">
        <f>SUM(AJ36-AA50)</f>
        <v/>
      </c>
      <c r="AK50" s="241">
        <f>SUM(AK36-AB50)</f>
        <v/>
      </c>
      <c r="AL50" s="241">
        <f>SUM(AL36-AC50)</f>
        <v/>
      </c>
      <c r="AM50" s="241">
        <f>SUM(AM36-AD50)</f>
        <v/>
      </c>
      <c r="AN50" s="241">
        <f>SUM(AN36-AE50)</f>
        <v/>
      </c>
      <c r="AO50" s="242">
        <f>SUM(AO36-AF50)</f>
        <v/>
      </c>
    </row>
    <row r="51" ht="15" customHeight="1">
      <c r="A51" s="136" t="inlineStr">
        <is>
          <t>BMTP</t>
        </is>
      </c>
      <c r="B51" s="137" t="inlineStr">
        <is>
          <t>ICD</t>
        </is>
      </c>
      <c r="C51" s="234" t="n"/>
      <c r="D51" s="235" t="n"/>
      <c r="E51" s="235" t="n"/>
      <c r="F51" s="235" t="n"/>
      <c r="G51" s="235" t="n"/>
      <c r="H51" s="235" t="n"/>
      <c r="I51" s="235" t="n"/>
      <c r="J51" s="235" t="n"/>
      <c r="K51" s="236" t="n"/>
      <c r="L51" s="231">
        <f>SUM(L37-C51)</f>
        <v/>
      </c>
      <c r="M51" s="232">
        <f>SUM(M37-D51)</f>
        <v/>
      </c>
      <c r="N51" s="232">
        <f>SUM(N37-E51)</f>
        <v/>
      </c>
      <c r="O51" s="232">
        <f>SUM(O37-F51)</f>
        <v/>
      </c>
      <c r="P51" s="232">
        <f>SUM(P37-G51)</f>
        <v/>
      </c>
      <c r="Q51" s="232">
        <f>SUM(Q37-H51)</f>
        <v/>
      </c>
      <c r="R51" s="232">
        <f>SUM(R37-I51)</f>
        <v/>
      </c>
      <c r="S51" s="232">
        <f>SUM(S37-J51)</f>
        <v/>
      </c>
      <c r="T51" s="233">
        <f>SUM(T37-K51)</f>
        <v/>
      </c>
      <c r="V51" s="35" t="inlineStr">
        <is>
          <t>PW</t>
        </is>
      </c>
      <c r="W51" s="36" t="inlineStr">
        <is>
          <t>DEPOT</t>
        </is>
      </c>
      <c r="X51" s="238" t="n">
        <v>175</v>
      </c>
      <c r="Y51" s="223" t="n"/>
      <c r="Z51" s="223" t="n">
        <v>164</v>
      </c>
      <c r="AA51" s="223" t="n"/>
      <c r="AB51" s="223" t="n"/>
      <c r="AC51" s="223" t="n"/>
      <c r="AD51" s="223" t="n"/>
      <c r="AE51" s="223" t="n"/>
      <c r="AF51" s="239" t="n"/>
      <c r="AG51" s="240">
        <f>SUM(AG37-X51)</f>
        <v/>
      </c>
      <c r="AH51" s="241">
        <f>SUM(AH37-Y51)</f>
        <v/>
      </c>
      <c r="AI51" s="241">
        <f>SUM(AI37-Z51)</f>
        <v/>
      </c>
      <c r="AJ51" s="241">
        <f>SUM(AJ37-AA51)</f>
        <v/>
      </c>
      <c r="AK51" s="241">
        <f>SUM(AK37-AB51)</f>
        <v/>
      </c>
      <c r="AL51" s="241">
        <f>SUM(AL37-AC51)</f>
        <v/>
      </c>
      <c r="AM51" s="241">
        <f>SUM(AM37-AD51)</f>
        <v/>
      </c>
      <c r="AN51" s="241">
        <f>SUM(AN37-AE51)</f>
        <v/>
      </c>
      <c r="AO51" s="242">
        <f>SUM(AO37-AF51)</f>
        <v/>
      </c>
    </row>
    <row r="52" ht="15" customHeight="1">
      <c r="A52" s="136" t="inlineStr">
        <is>
          <t>SCT</t>
        </is>
      </c>
      <c r="B52" s="137" t="inlineStr">
        <is>
          <t>ICD</t>
        </is>
      </c>
      <c r="C52" s="234" t="n"/>
      <c r="D52" s="235" t="n"/>
      <c r="E52" s="235" t="n"/>
      <c r="F52" s="235" t="n"/>
      <c r="G52" s="235" t="n"/>
      <c r="H52" s="235" t="n"/>
      <c r="I52" s="235" t="n"/>
      <c r="J52" s="235" t="n"/>
      <c r="K52" s="236" t="n"/>
      <c r="L52" s="231">
        <f>SUM(L38-C52)</f>
        <v/>
      </c>
      <c r="M52" s="232">
        <f>SUM(M38-D52)</f>
        <v/>
      </c>
      <c r="N52" s="232">
        <f>SUM(N38-E52)</f>
        <v/>
      </c>
      <c r="O52" s="232">
        <f>SUM(O38-F52)</f>
        <v/>
      </c>
      <c r="P52" s="232">
        <f>SUM(P38-G52)</f>
        <v/>
      </c>
      <c r="Q52" s="232">
        <f>SUM(Q38-H52)</f>
        <v/>
      </c>
      <c r="R52" s="232">
        <f>SUM(R38-I52)</f>
        <v/>
      </c>
      <c r="S52" s="232">
        <f>SUM(S38-J52)</f>
        <v/>
      </c>
      <c r="T52" s="233">
        <f>SUM(T38-K52)</f>
        <v/>
      </c>
      <c r="V52" s="35" t="n"/>
      <c r="W52" s="36" t="n"/>
      <c r="X52" s="48" t="n"/>
      <c r="Y52" s="49" t="n"/>
      <c r="Z52" s="49" t="n"/>
      <c r="AA52" s="49" t="n"/>
      <c r="AB52" s="49" t="n"/>
      <c r="AC52" s="49" t="n"/>
      <c r="AD52" s="49" t="n"/>
      <c r="AE52" s="49" t="n"/>
      <c r="AF52" s="82" t="n"/>
      <c r="AG52" s="243">
        <f>SUM(AG38-X52)</f>
        <v/>
      </c>
      <c r="AH52" s="244">
        <f>SUM(AH38-Y52)</f>
        <v/>
      </c>
      <c r="AI52" s="244">
        <f>SUM(AI38-Z52)</f>
        <v/>
      </c>
      <c r="AJ52" s="244">
        <f>SUM(AJ38-AA52)</f>
        <v/>
      </c>
      <c r="AK52" s="244">
        <f>SUM(AK38-AB52)</f>
        <v/>
      </c>
      <c r="AL52" s="244">
        <f>SUM(AL38-AC52)</f>
        <v/>
      </c>
      <c r="AM52" s="244">
        <f>SUM(AM38-AD52)</f>
        <v/>
      </c>
      <c r="AN52" s="244">
        <f>SUM(AN38-AE52)</f>
        <v/>
      </c>
      <c r="AO52" s="245">
        <f>SUM(AO38-AF52)</f>
        <v/>
      </c>
    </row>
    <row r="53" ht="15" customHeight="1">
      <c r="A53" s="43" t="n"/>
      <c r="B53" s="44" t="n"/>
      <c r="C53" s="41" t="n"/>
      <c r="D53" s="28" t="n"/>
      <c r="E53" s="28" t="n"/>
      <c r="F53" s="28" t="n"/>
      <c r="G53" s="28" t="n"/>
      <c r="H53" s="28" t="n"/>
      <c r="I53" s="28" t="n"/>
      <c r="J53" s="28" t="n"/>
      <c r="K53" s="42" t="n"/>
      <c r="L53" s="243">
        <f>SUM(L39-C53)</f>
        <v/>
      </c>
      <c r="M53" s="244">
        <f>SUM(M39-D53)</f>
        <v/>
      </c>
      <c r="N53" s="244">
        <f>SUM(N39-E53)</f>
        <v/>
      </c>
      <c r="O53" s="244">
        <f>SUM(O39-F53)</f>
        <v/>
      </c>
      <c r="P53" s="244">
        <f>SUM(P39-G53)</f>
        <v/>
      </c>
      <c r="Q53" s="244">
        <f>SUM(Q39-H53)</f>
        <v/>
      </c>
      <c r="R53" s="244">
        <f>SUM(R39-I53)</f>
        <v/>
      </c>
      <c r="S53" s="244">
        <f>SUM(S39-J53)</f>
        <v/>
      </c>
      <c r="T53" s="245">
        <f>SUM(T39-K53)</f>
        <v/>
      </c>
      <c r="V53" s="35" t="n"/>
      <c r="W53" s="36" t="n"/>
      <c r="X53" s="48" t="n"/>
      <c r="Y53" s="49" t="n"/>
      <c r="Z53" s="49" t="n"/>
      <c r="AA53" s="49" t="n"/>
      <c r="AB53" s="49" t="n"/>
      <c r="AC53" s="49" t="n"/>
      <c r="AD53" s="49" t="n"/>
      <c r="AE53" s="49" t="n"/>
      <c r="AF53" s="82" t="n"/>
      <c r="AG53" s="243">
        <f>SUM(AG39-X53)</f>
        <v/>
      </c>
      <c r="AH53" s="244">
        <f>SUM(AH39-Y53)</f>
        <v/>
      </c>
      <c r="AI53" s="244">
        <f>SUM(AI39-Z53)</f>
        <v/>
      </c>
      <c r="AJ53" s="244">
        <f>SUM(AJ39-AA53)</f>
        <v/>
      </c>
      <c r="AK53" s="244">
        <f>SUM(AK39-AB53)</f>
        <v/>
      </c>
      <c r="AL53" s="244">
        <f>SUM(AL39-AC53)</f>
        <v/>
      </c>
      <c r="AM53" s="244">
        <f>SUM(AM39-AD53)</f>
        <v/>
      </c>
      <c r="AN53" s="244">
        <f>SUM(AN39-AE53)</f>
        <v/>
      </c>
      <c r="AO53" s="245">
        <f>SUM(AO39-AF53)</f>
        <v/>
      </c>
    </row>
    <row r="54" ht="15" customHeight="1">
      <c r="A54" s="45" t="inlineStr">
        <is>
          <t>LEASE IN</t>
        </is>
      </c>
      <c r="B54" s="46" t="n"/>
      <c r="C54" s="84" t="n"/>
      <c r="D54" s="85" t="n"/>
      <c r="E54" s="85" t="n"/>
      <c r="F54" s="85" t="n"/>
      <c r="G54" s="85" t="n"/>
      <c r="H54" s="85" t="n"/>
      <c r="I54" s="85" t="n"/>
      <c r="J54" s="85" t="n"/>
      <c r="K54" s="86" t="n"/>
      <c r="L54" s="246">
        <f>SUM(L40-C54)</f>
        <v/>
      </c>
      <c r="M54" s="247">
        <f>SUM(M40-D54)</f>
        <v/>
      </c>
      <c r="N54" s="247">
        <f>SUM(N40-E54)</f>
        <v/>
      </c>
      <c r="O54" s="247">
        <f>SUM(O40-F54)</f>
        <v/>
      </c>
      <c r="P54" s="247">
        <f>SUM(P40-G54)</f>
        <v/>
      </c>
      <c r="Q54" s="247">
        <f>SUM(Q40-H54)</f>
        <v/>
      </c>
      <c r="R54" s="247">
        <f>SUM(R40-I54)</f>
        <v/>
      </c>
      <c r="S54" s="247">
        <f>SUM(S40-J54)</f>
        <v/>
      </c>
      <c r="T54" s="248">
        <f>SUM(T40-K54)</f>
        <v/>
      </c>
      <c r="U54" s="89" t="n"/>
      <c r="V54" s="45" t="inlineStr">
        <is>
          <t>LEASE IN</t>
        </is>
      </c>
      <c r="W54" s="46" t="n"/>
      <c r="X54" s="84" t="n"/>
      <c r="Y54" s="85" t="n"/>
      <c r="Z54" s="85" t="n"/>
      <c r="AA54" s="85" t="n"/>
      <c r="AB54" s="85" t="n"/>
      <c r="AC54" s="85" t="n"/>
      <c r="AD54" s="85" t="n"/>
      <c r="AE54" s="85" t="n"/>
      <c r="AF54" s="86" t="n"/>
      <c r="AG54" s="243">
        <f>SUM(AG40-X54)</f>
        <v/>
      </c>
      <c r="AH54" s="244">
        <f>SUM(AH40-Y54)</f>
        <v/>
      </c>
      <c r="AI54" s="244">
        <f>SUM(AI40-Z54)</f>
        <v/>
      </c>
      <c r="AJ54" s="244">
        <f>SUM(AJ40-AA54)</f>
        <v/>
      </c>
      <c r="AK54" s="244">
        <f>SUM(AK40-AB54)</f>
        <v/>
      </c>
      <c r="AL54" s="244">
        <f>SUM(AL40-AC54)</f>
        <v/>
      </c>
      <c r="AM54" s="244">
        <f>SUM(AM40-AD54)</f>
        <v/>
      </c>
      <c r="AN54" s="244">
        <f>SUM(AN40-AE54)</f>
        <v/>
      </c>
      <c r="AO54" s="245">
        <f>SUM(AO40-AF54)</f>
        <v/>
      </c>
    </row>
    <row r="55" ht="15" customHeight="1" thickBot="1">
      <c r="A55" s="193" t="inlineStr">
        <is>
          <t>TOTAL AT BKK</t>
        </is>
      </c>
      <c r="B55" s="194" t="n"/>
      <c r="C55" s="70">
        <f>SUM(C45:C54)</f>
        <v/>
      </c>
      <c r="D55" s="71">
        <f>SUM(D45:D54)</f>
        <v/>
      </c>
      <c r="E55" s="71">
        <f>SUM(E45:E54)</f>
        <v/>
      </c>
      <c r="F55" s="71">
        <f>SUM(F45:F54)</f>
        <v/>
      </c>
      <c r="G55" s="71">
        <f>SUM(G45:G54)</f>
        <v/>
      </c>
      <c r="H55" s="71">
        <f>SUM(H45:H54)</f>
        <v/>
      </c>
      <c r="I55" s="71">
        <f>SUM(I45:I54)</f>
        <v/>
      </c>
      <c r="J55" s="71">
        <f>SUM(J45:J54)</f>
        <v/>
      </c>
      <c r="K55" s="87">
        <f>SUM(K45:K54)</f>
        <v/>
      </c>
      <c r="L55" s="57">
        <f>SUM(L45:L54)</f>
        <v/>
      </c>
      <c r="M55" s="58">
        <f>SUM(M45:M54)</f>
        <v/>
      </c>
      <c r="N55" s="58">
        <f>SUM(N45:N54)</f>
        <v/>
      </c>
      <c r="O55" s="58">
        <f>SUM(O45:O54)</f>
        <v/>
      </c>
      <c r="P55" s="58">
        <f>SUM(P45:P54)</f>
        <v/>
      </c>
      <c r="Q55" s="58">
        <f>SUM(Q45:Q54)</f>
        <v/>
      </c>
      <c r="R55" s="58">
        <f>SUM(R45:R54)</f>
        <v/>
      </c>
      <c r="S55" s="58">
        <f>SUM(S45:S54)</f>
        <v/>
      </c>
      <c r="T55" s="59">
        <f>SUM(T45:T54)</f>
        <v/>
      </c>
      <c r="U55" s="9" t="n"/>
      <c r="V55" s="193" t="inlineStr">
        <is>
          <t>TOTAL AT LCH</t>
        </is>
      </c>
      <c r="W55" s="194" t="n"/>
      <c r="X55" s="70">
        <f>SUM(X45:X54)</f>
        <v/>
      </c>
      <c r="Y55" s="71">
        <f>SUM(Y45:Y54)</f>
        <v/>
      </c>
      <c r="Z55" s="71">
        <f>SUM(Z45:Z54)</f>
        <v/>
      </c>
      <c r="AA55" s="71">
        <f>SUM(AA45:AA54)</f>
        <v/>
      </c>
      <c r="AB55" s="71">
        <f>SUM(AB45:AB54)</f>
        <v/>
      </c>
      <c r="AC55" s="71">
        <f>SUM(AC45:AC54)</f>
        <v/>
      </c>
      <c r="AD55" s="71">
        <f>SUM(AD45:AD54)</f>
        <v/>
      </c>
      <c r="AE55" s="71">
        <f>SUM(AE45:AE54)</f>
        <v/>
      </c>
      <c r="AF55" s="87">
        <f>SUM(AF45:AF54)</f>
        <v/>
      </c>
      <c r="AG55" s="57">
        <f>SUM(AG45:AG54)</f>
        <v/>
      </c>
      <c r="AH55" s="58">
        <f>SUM(AH45:AH54)</f>
        <v/>
      </c>
      <c r="AI55" s="58">
        <f>SUM(AI45:AI54)</f>
        <v/>
      </c>
      <c r="AJ55" s="58">
        <f>SUM(AJ45:AJ54)</f>
        <v/>
      </c>
      <c r="AK55" s="58">
        <f>SUM(AK45:AK54)</f>
        <v/>
      </c>
      <c r="AL55" s="58">
        <f>SUM(AL45:AL54)</f>
        <v/>
      </c>
      <c r="AM55" s="58">
        <f>SUM(AM45:AM54)</f>
        <v/>
      </c>
      <c r="AN55" s="58">
        <f>SUM(AN45:AN54)</f>
        <v/>
      </c>
      <c r="AO55" s="59">
        <f>SUM(AO45:AO54)</f>
        <v/>
      </c>
    </row>
    <row r="57" ht="16.9" customHeight="1">
      <c r="A57" s="19" t="n"/>
      <c r="B57" s="171" t="n"/>
      <c r="V57" s="89" t="n"/>
      <c r="W57" s="171" t="n"/>
    </row>
    <row r="58" ht="16.9" customHeight="1">
      <c r="B58" s="171" t="n"/>
      <c r="V58" s="89" t="n"/>
      <c r="W58" s="171" t="n"/>
    </row>
    <row r="59" ht="16.9" customHeight="1">
      <c r="B59" s="170" t="n"/>
      <c r="W59" s="170" t="n"/>
    </row>
    <row r="60" ht="16.9" customHeight="1">
      <c r="B60" s="170" t="n"/>
      <c r="W60" s="170" t="n"/>
    </row>
  </sheetData>
  <mergeCells count="46">
    <mergeCell ref="V55:W55"/>
    <mergeCell ref="W59:AO59"/>
    <mergeCell ref="AG2:AL2"/>
    <mergeCell ref="A15:B15"/>
    <mergeCell ref="A2:B3"/>
    <mergeCell ref="W58:AO58"/>
    <mergeCell ref="I43:K43"/>
    <mergeCell ref="C43:H43"/>
    <mergeCell ref="AL1:AO1"/>
    <mergeCell ref="AG17:AO17"/>
    <mergeCell ref="L29:T29"/>
    <mergeCell ref="C2:K2"/>
    <mergeCell ref="X29:AC29"/>
    <mergeCell ref="W60:AO60"/>
    <mergeCell ref="A29:B30"/>
    <mergeCell ref="A41:B41"/>
    <mergeCell ref="W57:AO57"/>
    <mergeCell ref="C17:K17"/>
    <mergeCell ref="I29:K29"/>
    <mergeCell ref="A43:B44"/>
    <mergeCell ref="A55:B55"/>
    <mergeCell ref="V43:W44"/>
    <mergeCell ref="B59:T59"/>
    <mergeCell ref="AD43:AF43"/>
    <mergeCell ref="A17:A18"/>
    <mergeCell ref="V2:W3"/>
    <mergeCell ref="V15:W15"/>
    <mergeCell ref="R2:T2"/>
    <mergeCell ref="B58:T58"/>
    <mergeCell ref="AG43:AO43"/>
    <mergeCell ref="V29:W30"/>
    <mergeCell ref="X43:AC43"/>
    <mergeCell ref="V41:W41"/>
    <mergeCell ref="L17:T17"/>
    <mergeCell ref="L2:Q2"/>
    <mergeCell ref="AM2:AO2"/>
    <mergeCell ref="AG29:AO29"/>
    <mergeCell ref="X2:AF2"/>
    <mergeCell ref="B60:T60"/>
    <mergeCell ref="AD29:AF29"/>
    <mergeCell ref="AJ1:AK1"/>
    <mergeCell ref="B57:T57"/>
    <mergeCell ref="V17:V18"/>
    <mergeCell ref="X17:AF17"/>
    <mergeCell ref="C29:H29"/>
    <mergeCell ref="L43:T43"/>
  </mergeCells>
  <conditionalFormatting sqref="A2 A4:A15 A13:T13 A16:T27 A29 A31:A39 A40:B40 A41 A43 A45:A53 A54:B54 A55 C2:L2 C12:T15 C29 C30:T41 C43 C44:T55 I43 L29:T29 L43:T43 R2 U2:V2 U12:U27 U29:U41 U43:U53 U55:V55 V16:W27 V29 V43 X2:AG2 X3:IV3 X29 X43 AD43 AG29:AO40 AG43:AO43 AM2">
    <cfRule type="cellIs" priority="42" operator="lessThan" dxfId="0">
      <formula>0</formula>
    </cfRule>
  </conditionalFormatting>
  <conditionalFormatting sqref="A42:W42">
    <cfRule type="cellIs" priority="29" operator="lessThan" dxfId="0">
      <formula>0</formula>
    </cfRule>
  </conditionalFormatting>
  <conditionalFormatting sqref="A1:AI1 A56:T56 A57:B60 A61:AO65536 U55:U60 V56:W56 V59:W60 W57:W58 X30:AO34 X36:AO37 X39:AO39 X53:AF53 AA38:AO38 AL1 AP1:IV2">
    <cfRule type="cellIs" priority="381" operator="lessThan" dxfId="0">
      <formula>0</formula>
    </cfRule>
  </conditionalFormatting>
  <conditionalFormatting sqref="C3:U11">
    <cfRule type="cellIs" priority="38" operator="lessThan" dxfId="0">
      <formula>0</formula>
    </cfRule>
  </conditionalFormatting>
  <conditionalFormatting sqref="I29">
    <cfRule type="cellIs" priority="30" operator="lessThan" dxfId="0">
      <formula>0</formula>
    </cfRule>
  </conditionalFormatting>
  <conditionalFormatting sqref="V4:V15">
    <cfRule type="cellIs" priority="11" operator="lessThan" dxfId="0">
      <formula>0</formula>
    </cfRule>
  </conditionalFormatting>
  <conditionalFormatting sqref="V31:V39 V41">
    <cfRule type="cellIs" priority="7" operator="lessThan" dxfId="0">
      <formula>0</formula>
    </cfRule>
  </conditionalFormatting>
  <conditionalFormatting sqref="V45:V53">
    <cfRule type="cellIs" priority="6" operator="lessThan" dxfId="0">
      <formula>0</formula>
    </cfRule>
  </conditionalFormatting>
  <conditionalFormatting sqref="V40:AF40">
    <cfRule type="cellIs" priority="4" operator="lessThan" dxfId="0">
      <formula>0</formula>
    </cfRule>
  </conditionalFormatting>
  <conditionalFormatting sqref="V13:AO13">
    <cfRule type="cellIs" priority="5" operator="lessThan" dxfId="0">
      <formula>0</formula>
    </cfRule>
  </conditionalFormatting>
  <conditionalFormatting sqref="V54:AO54">
    <cfRule type="cellIs" priority="3" operator="lessThan" dxfId="0">
      <formula>0</formula>
    </cfRule>
  </conditionalFormatting>
  <conditionalFormatting sqref="X52:Z52">
    <cfRule type="cellIs" priority="12" operator="lessThan" dxfId="0">
      <formula>0</formula>
    </cfRule>
  </conditionalFormatting>
  <conditionalFormatting sqref="X30:AF39">
    <cfRule type="cellIs" priority="34" operator="lessThan" dxfId="0">
      <formula>0</formula>
    </cfRule>
  </conditionalFormatting>
  <conditionalFormatting sqref="X4:AO12 X14:AO28">
    <cfRule type="cellIs" priority="26" operator="lessThan" dxfId="0">
      <formula>0</formula>
    </cfRule>
  </conditionalFormatting>
  <conditionalFormatting sqref="X41:AO42">
    <cfRule type="cellIs" priority="28" operator="lessThan" dxfId="0">
      <formula>0</formula>
    </cfRule>
  </conditionalFormatting>
  <conditionalFormatting sqref="X44:AO53 X55:AO56">
    <cfRule type="cellIs" priority="32" operator="lessThan" dxfId="0">
      <formula>0</formula>
    </cfRule>
  </conditionalFormatting>
  <conditionalFormatting sqref="A28:W28 AP4:IV65536">
    <cfRule type="cellIs" priority="27" operator="lessThan" dxfId="0">
      <formula>0</formula>
    </cfRule>
  </conditionalFormatting>
  <conditionalFormatting sqref="AD29">
    <cfRule type="cellIs" priority="1" operator="lessThan" dxfId="0">
      <formula>0</formula>
    </cfRule>
  </conditionalFormatting>
  <printOptions horizontalCentered="1"/>
  <pageMargins left="0" right="0" top="0.5" bottom="0" header="0.3" footer="0.3"/>
  <pageSetup orientation="landscape" paperSize="9" scale="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zoomScaleNormal="100" workbookViewId="0">
      <selection activeCell="I21" sqref="I21"/>
    </sheetView>
  </sheetViews>
  <sheetFormatPr baseColWidth="8" defaultColWidth="9" defaultRowHeight="16.15" customHeight="1"/>
  <cols>
    <col width="5.75" bestFit="1" customWidth="1" style="96" min="1" max="1"/>
    <col width="7.875" customWidth="1" style="96" min="2" max="4"/>
    <col width="5.125" bestFit="1" customWidth="1" style="96" min="5" max="5"/>
    <col width="5.75" bestFit="1" customWidth="1" style="96" min="6" max="6"/>
    <col width="7.875" customWidth="1" style="96" min="7" max="9"/>
    <col width="5.125" bestFit="1" customWidth="1" style="96" min="10" max="13"/>
    <col width="9" customWidth="1" style="96" min="14" max="16384"/>
  </cols>
  <sheetData>
    <row r="1" ht="16.15" customHeight="1">
      <c r="A1" s="172" t="inlineStr">
        <is>
          <t>HAL (THBKK)</t>
        </is>
      </c>
      <c r="B1" s="198" t="n"/>
      <c r="C1" s="198" t="n"/>
      <c r="D1" s="199" t="n"/>
      <c r="E1" s="116" t="n"/>
      <c r="F1" s="172" t="inlineStr">
        <is>
          <t>HAL (THLCH)</t>
        </is>
      </c>
      <c r="G1" s="198" t="n"/>
      <c r="H1" s="198" t="n"/>
      <c r="I1" s="199" t="n"/>
      <c r="J1" s="117" t="n"/>
      <c r="K1" s="117" t="n"/>
      <c r="L1" s="117" t="n"/>
      <c r="M1" s="117" t="n"/>
    </row>
    <row r="2" ht="16.15" customHeight="1">
      <c r="A2" s="173" t="inlineStr">
        <is>
          <t>YEAR
BUILT</t>
        </is>
      </c>
      <c r="B2" s="172" t="inlineStr">
        <is>
          <t>CARRIER</t>
        </is>
      </c>
      <c r="C2" s="172" t="inlineStr">
        <is>
          <t>DAIKIN</t>
        </is>
      </c>
      <c r="D2" s="172" t="inlineStr">
        <is>
          <t>TRMK</t>
        </is>
      </c>
      <c r="E2" s="118" t="n"/>
      <c r="F2" s="174" t="inlineStr">
        <is>
          <t>YEAR
BUILT</t>
        </is>
      </c>
      <c r="G2" s="172" t="inlineStr">
        <is>
          <t>CARRIER</t>
        </is>
      </c>
      <c r="H2" s="172" t="inlineStr">
        <is>
          <t>DAIKIN</t>
        </is>
      </c>
      <c r="I2" s="172" t="inlineStr">
        <is>
          <t>TRMK</t>
        </is>
      </c>
      <c r="J2" s="117" t="n"/>
      <c r="K2" s="117" t="n"/>
      <c r="L2" s="117" t="n"/>
      <c r="M2" s="117" t="n"/>
    </row>
    <row r="3" ht="16.15" customHeight="1">
      <c r="A3" s="200" t="n"/>
      <c r="B3" s="175" t="inlineStr">
        <is>
          <t>45RE</t>
        </is>
      </c>
      <c r="C3" s="175" t="inlineStr">
        <is>
          <t>45RE</t>
        </is>
      </c>
      <c r="D3" s="175" t="inlineStr">
        <is>
          <t>45RE</t>
        </is>
      </c>
      <c r="E3" s="118" t="n"/>
      <c r="F3" s="200" t="n"/>
      <c r="G3" s="175" t="inlineStr">
        <is>
          <t>45RE</t>
        </is>
      </c>
      <c r="H3" s="175" t="inlineStr">
        <is>
          <t>45RE</t>
        </is>
      </c>
      <c r="I3" s="175" t="inlineStr">
        <is>
          <t>45RE</t>
        </is>
      </c>
      <c r="J3" s="120" t="n"/>
      <c r="K3" s="120" t="n"/>
      <c r="L3" s="120" t="n"/>
      <c r="M3" s="120" t="n"/>
    </row>
    <row r="4" ht="16.15" customHeight="1">
      <c r="A4" s="122" t="n">
        <v>2025</v>
      </c>
      <c r="B4" s="123" t="n">
        <v>4</v>
      </c>
      <c r="C4" s="123" t="n"/>
      <c r="D4" s="123" t="n">
        <v>1</v>
      </c>
      <c r="E4" s="118" t="n"/>
      <c r="F4" s="122" t="n">
        <v>2025</v>
      </c>
      <c r="G4" s="123" t="n">
        <v>8</v>
      </c>
      <c r="H4" s="123" t="n"/>
      <c r="I4" s="123" t="n">
        <v>1</v>
      </c>
      <c r="J4" s="120" t="n"/>
      <c r="K4" s="120" t="n"/>
      <c r="L4" s="120" t="n"/>
      <c r="M4" s="120" t="n"/>
    </row>
    <row r="5" ht="16.15" customHeight="1">
      <c r="A5" s="124" t="n">
        <v>2023</v>
      </c>
      <c r="B5" s="125" t="n">
        <v>1</v>
      </c>
      <c r="C5" s="125" t="n"/>
      <c r="D5" s="125" t="n"/>
      <c r="E5" s="111" t="n"/>
      <c r="F5" s="124" t="n">
        <v>2023</v>
      </c>
      <c r="G5" s="125" t="n"/>
      <c r="H5" s="125" t="n"/>
      <c r="I5" s="125" t="n"/>
    </row>
    <row r="6" ht="16.15" customHeight="1">
      <c r="A6" s="124" t="n">
        <v>2021</v>
      </c>
      <c r="B6" s="125" t="n">
        <v>1</v>
      </c>
      <c r="C6" s="125" t="n"/>
      <c r="D6" s="125" t="n"/>
      <c r="F6" s="124" t="n">
        <v>2021</v>
      </c>
      <c r="G6" s="125" t="n">
        <v>6</v>
      </c>
      <c r="H6" s="125" t="n"/>
      <c r="I6" s="125" t="n"/>
    </row>
    <row r="7" ht="16.15" customHeight="1">
      <c r="A7" s="124" t="n">
        <v>2020</v>
      </c>
      <c r="B7" s="125" t="n">
        <v>1</v>
      </c>
      <c r="C7" s="125" t="n"/>
      <c r="D7" s="125" t="n"/>
      <c r="F7" s="124" t="n">
        <v>2020</v>
      </c>
      <c r="G7" s="125" t="n">
        <v>8</v>
      </c>
      <c r="H7" s="125" t="n"/>
      <c r="I7" s="125" t="n">
        <v>1</v>
      </c>
    </row>
    <row r="8" ht="16.15" customHeight="1" thickBot="1">
      <c r="A8" s="126" t="inlineStr">
        <is>
          <t>TOTAL</t>
        </is>
      </c>
      <c r="B8" s="127">
        <f>SUM(B4:B7)</f>
        <v/>
      </c>
      <c r="C8" s="127">
        <f>SUM(C4:C7)</f>
        <v/>
      </c>
      <c r="D8" s="127">
        <f>SUM(D4:D7)</f>
        <v/>
      </c>
      <c r="E8" s="128" t="n"/>
      <c r="F8" s="126" t="inlineStr">
        <is>
          <t>TOTAL</t>
        </is>
      </c>
      <c r="G8" s="127">
        <f>SUM(G4:G7)</f>
        <v/>
      </c>
      <c r="H8" s="127">
        <f>SUM(H4:H7)</f>
        <v/>
      </c>
      <c r="I8" s="127">
        <f>SUM(I4:I7)</f>
        <v/>
      </c>
      <c r="J8" s="129" t="n"/>
    </row>
    <row r="9" ht="16.15" customHeight="1" thickTop="1"/>
  </sheetData>
  <mergeCells count="4">
    <mergeCell ref="A1:D1"/>
    <mergeCell ref="F2:F3"/>
    <mergeCell ref="A2:A3"/>
    <mergeCell ref="F1:I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21"/>
  <sheetViews>
    <sheetView zoomScaleNormal="100" workbookViewId="0">
      <selection activeCell="E19" sqref="E19"/>
    </sheetView>
  </sheetViews>
  <sheetFormatPr baseColWidth="8" defaultColWidth="8.75" defaultRowHeight="15.6" customHeight="1"/>
  <cols>
    <col width="1.375" customWidth="1" style="114" min="1" max="1"/>
    <col width="18.25" bestFit="1" customWidth="1" style="114" min="2" max="2"/>
    <col width="5.75" customWidth="1" style="114" min="3" max="11"/>
    <col width="18" customWidth="1" style="95" min="12" max="12"/>
    <col width="1.375" customWidth="1" style="114" min="13" max="13"/>
    <col width="8.75" customWidth="1" style="114" min="14" max="16384"/>
  </cols>
  <sheetData>
    <row r="1" ht="15.6" customHeight="1" thickBot="1">
      <c r="B1" s="201" t="inlineStr">
        <is>
          <t>HAL (THBKK)</t>
        </is>
      </c>
      <c r="C1" s="202" t="n"/>
      <c r="D1" s="202" t="n"/>
      <c r="E1" s="202" t="n"/>
      <c r="F1" s="202" t="n"/>
      <c r="G1" s="202" t="n"/>
      <c r="H1" s="202" t="n"/>
      <c r="I1" s="202" t="n"/>
      <c r="J1" s="202" t="n"/>
      <c r="K1" s="203" t="n"/>
    </row>
    <row r="2" ht="15.6" customHeight="1" thickBot="1">
      <c r="B2" s="97" t="inlineStr">
        <is>
          <t>Item</t>
        </is>
      </c>
      <c r="C2" s="98" t="inlineStr">
        <is>
          <t>22GP</t>
        </is>
      </c>
      <c r="D2" s="99" t="inlineStr">
        <is>
          <t>42GP</t>
        </is>
      </c>
      <c r="E2" s="98" t="inlineStr">
        <is>
          <t>45GP</t>
        </is>
      </c>
      <c r="F2" s="98" t="inlineStr">
        <is>
          <t>22RE</t>
        </is>
      </c>
      <c r="G2" s="98" t="inlineStr">
        <is>
          <t>45RE</t>
        </is>
      </c>
      <c r="H2" s="98" t="inlineStr">
        <is>
          <t>22UT</t>
        </is>
      </c>
      <c r="I2" s="98" t="inlineStr">
        <is>
          <t>42UT</t>
        </is>
      </c>
      <c r="J2" s="98" t="inlineStr">
        <is>
          <t>22PC</t>
        </is>
      </c>
      <c r="K2" s="98" t="inlineStr">
        <is>
          <t>42PC</t>
        </is>
      </c>
    </row>
    <row r="3" ht="15.6" customHeight="1" thickBot="1">
      <c r="B3" s="100" t="inlineStr">
        <is>
          <t>Current Stock</t>
        </is>
      </c>
      <c r="C3" s="101">
        <f>Daily!L15</f>
        <v/>
      </c>
      <c r="D3" s="101">
        <f>Daily!M15</f>
        <v/>
      </c>
      <c r="E3" s="101">
        <f>Daily!N15</f>
        <v/>
      </c>
      <c r="F3" s="101">
        <f>Daily!O15</f>
        <v/>
      </c>
      <c r="G3" s="101">
        <f>Daily!P15</f>
        <v/>
      </c>
      <c r="H3" s="101">
        <f>Daily!Q15</f>
        <v/>
      </c>
      <c r="I3" s="101">
        <f>Daily!R15</f>
        <v/>
      </c>
      <c r="J3" s="101">
        <f>Daily!S15</f>
        <v/>
      </c>
      <c r="K3" s="101">
        <f>Daily!T15</f>
        <v/>
      </c>
    </row>
    <row r="4" ht="15.6" customHeight="1" thickBot="1">
      <c r="B4" s="100" t="inlineStr">
        <is>
          <t>E/P In (this week)</t>
        </is>
      </c>
      <c r="C4" s="251">
        <f>Daily!L14</f>
        <v/>
      </c>
      <c r="D4" s="251">
        <f>Daily!M14</f>
        <v/>
      </c>
      <c r="E4" s="251">
        <f>Daily!N14</f>
        <v/>
      </c>
      <c r="F4" s="251">
        <f>Daily!O14</f>
        <v/>
      </c>
      <c r="G4" s="251">
        <f>Daily!P14</f>
        <v/>
      </c>
      <c r="H4" s="251">
        <f>Daily!Q14</f>
        <v/>
      </c>
      <c r="I4" s="251">
        <f>Daily!R14</f>
        <v/>
      </c>
      <c r="J4" s="251">
        <f>Daily!S14</f>
        <v/>
      </c>
      <c r="K4" s="251">
        <f>Daily!T14</f>
        <v/>
      </c>
    </row>
    <row r="5" ht="15.6" customHeight="1" thickBot="1">
      <c r="B5" s="102" t="n"/>
      <c r="C5" s="103" t="n"/>
      <c r="D5" s="103" t="n"/>
      <c r="E5" s="103" t="n"/>
      <c r="F5" s="103" t="n"/>
      <c r="G5" s="103" t="n"/>
      <c r="H5" s="103" t="n"/>
      <c r="I5" s="103" t="n"/>
      <c r="J5" s="103" t="n"/>
      <c r="K5" s="103" t="n"/>
    </row>
    <row r="6" ht="15.6" customHeight="1" thickBot="1">
      <c r="B6" s="102" t="n"/>
      <c r="C6" s="103" t="n"/>
      <c r="D6" s="103" t="n"/>
      <c r="E6" s="103" t="n"/>
      <c r="F6" s="103" t="n"/>
      <c r="G6" s="103" t="n"/>
      <c r="H6" s="103" t="n"/>
      <c r="I6" s="103" t="n"/>
      <c r="J6" s="103" t="n"/>
      <c r="K6" s="103" t="n"/>
    </row>
    <row r="7" ht="15.6" customHeight="1" thickBot="1">
      <c r="B7" s="104" t="inlineStr">
        <is>
          <t>INBOUND MT RETURN</t>
        </is>
      </c>
      <c r="C7" s="252">
        <f>Daily!C15</f>
        <v/>
      </c>
      <c r="D7" s="252">
        <f>Daily!D15</f>
        <v/>
      </c>
      <c r="E7" s="252">
        <f>Daily!E15</f>
        <v/>
      </c>
      <c r="F7" s="252">
        <f>Daily!F15</f>
        <v/>
      </c>
      <c r="G7" s="252">
        <f>Daily!G15</f>
        <v/>
      </c>
      <c r="H7" s="252">
        <f>Daily!H15</f>
        <v/>
      </c>
      <c r="I7" s="252">
        <f>Daily!I15</f>
        <v/>
      </c>
      <c r="J7" s="252">
        <f>Daily!J15</f>
        <v/>
      </c>
      <c r="K7" s="252">
        <f>Daily!K15</f>
        <v/>
      </c>
    </row>
    <row r="8" ht="15.6" customHeight="1" thickBot="1">
      <c r="B8" s="100" t="inlineStr">
        <is>
          <t>Booking(This week)</t>
        </is>
      </c>
      <c r="C8" s="251">
        <f>Daily!C41</f>
        <v/>
      </c>
      <c r="D8" s="251">
        <f>Daily!D41</f>
        <v/>
      </c>
      <c r="E8" s="251">
        <f>Daily!E41</f>
        <v/>
      </c>
      <c r="F8" s="251">
        <f>Daily!F41</f>
        <v/>
      </c>
      <c r="G8" s="251">
        <f>Daily!G41</f>
        <v/>
      </c>
      <c r="H8" s="251">
        <f>Daily!H41</f>
        <v/>
      </c>
      <c r="I8" s="251">
        <f>Daily!I41</f>
        <v/>
      </c>
      <c r="J8" s="251">
        <f>Daily!J41</f>
        <v/>
      </c>
      <c r="K8" s="251">
        <f>Daily!K41</f>
        <v/>
      </c>
      <c r="L8" s="95">
        <f>Daily!I29</f>
        <v/>
      </c>
    </row>
    <row r="9" ht="15.6" customHeight="1" thickBot="1">
      <c r="B9" s="100" t="inlineStr">
        <is>
          <t>Booking(Next week)</t>
        </is>
      </c>
      <c r="C9" s="253">
        <f>Daily!C55</f>
        <v/>
      </c>
      <c r="D9" s="253">
        <f>Daily!D55</f>
        <v/>
      </c>
      <c r="E9" s="253">
        <f>Daily!E55</f>
        <v/>
      </c>
      <c r="F9" s="253">
        <f>Daily!F55</f>
        <v/>
      </c>
      <c r="G9" s="253">
        <f>Daily!G55</f>
        <v/>
      </c>
      <c r="H9" s="253">
        <f>Daily!H55</f>
        <v/>
      </c>
      <c r="I9" s="253">
        <f>Daily!I55</f>
        <v/>
      </c>
      <c r="J9" s="253">
        <f>Daily!J55</f>
        <v/>
      </c>
      <c r="K9" s="253">
        <f>Daily!K55</f>
        <v/>
      </c>
      <c r="L9" s="107">
        <f>Daily!I43</f>
        <v/>
      </c>
    </row>
    <row r="10" ht="15.6" customHeight="1" thickBot="1">
      <c r="B10" s="108" t="inlineStr">
        <is>
          <t>Balance</t>
        </is>
      </c>
      <c r="C10" s="254">
        <f>SUM(C3+C4+C5+C6+C7-C8-C9)</f>
        <v/>
      </c>
      <c r="D10" s="254">
        <f>SUM(D3+D4+D5+D6+D7-D8-D9)</f>
        <v/>
      </c>
      <c r="E10" s="254">
        <f>SUM(E3+E4+E5+E6+E7-E8-E9)</f>
        <v/>
      </c>
      <c r="F10" s="254">
        <f>SUM(F3+F4+F5+F6+F7-F8-F9)</f>
        <v/>
      </c>
      <c r="G10" s="255">
        <f>SUM(G3+G4+G5+G6+G7-G8-G9)</f>
        <v/>
      </c>
      <c r="H10" s="255">
        <f>SUM(H3+H4+H5+H6+H7-H8-H9)</f>
        <v/>
      </c>
      <c r="I10" s="255">
        <f>SUM(I3+I4+I5+I6+I7-I8-I9)</f>
        <v/>
      </c>
      <c r="J10" s="255">
        <f>SUM(J3+J4+J5+J6+J7-J8-J9)</f>
        <v/>
      </c>
      <c r="K10" s="255">
        <f>SUM(K3+K4+K5+K6+K7-K8-K9)</f>
        <v/>
      </c>
    </row>
    <row r="11" ht="9.6" customHeight="1" thickBot="1">
      <c r="B11" s="111" t="n"/>
      <c r="C11" s="111" t="n"/>
      <c r="D11" s="111" t="n"/>
      <c r="E11" s="111" t="n"/>
      <c r="F11" s="111" t="n"/>
      <c r="G11" s="111" t="n"/>
      <c r="H11" s="111" t="n"/>
      <c r="I11" s="111" t="n"/>
      <c r="J11" s="111" t="n"/>
      <c r="K11" s="111" t="n"/>
    </row>
    <row r="12" ht="15.6" customHeight="1" thickBot="1">
      <c r="B12" s="204" t="inlineStr">
        <is>
          <t>HAL (THLCH)</t>
        </is>
      </c>
      <c r="C12" s="202" t="n"/>
      <c r="D12" s="202" t="n"/>
      <c r="E12" s="202" t="n"/>
      <c r="F12" s="202" t="n"/>
      <c r="G12" s="202" t="n"/>
      <c r="H12" s="202" t="n"/>
      <c r="I12" s="202" t="n"/>
      <c r="J12" s="202" t="n"/>
      <c r="K12" s="203" t="n"/>
    </row>
    <row r="13" ht="15.6" customHeight="1" thickBot="1">
      <c r="B13" s="97" t="inlineStr">
        <is>
          <t>Item</t>
        </is>
      </c>
      <c r="C13" s="98" t="inlineStr">
        <is>
          <t>22GP</t>
        </is>
      </c>
      <c r="D13" s="98" t="inlineStr">
        <is>
          <t>42GP</t>
        </is>
      </c>
      <c r="E13" s="98" t="inlineStr">
        <is>
          <t>45GP</t>
        </is>
      </c>
      <c r="F13" s="98" t="inlineStr">
        <is>
          <t>22RE</t>
        </is>
      </c>
      <c r="G13" s="98" t="inlineStr">
        <is>
          <t>45RE</t>
        </is>
      </c>
      <c r="H13" s="98" t="inlineStr">
        <is>
          <t>22UT</t>
        </is>
      </c>
      <c r="I13" s="98" t="inlineStr">
        <is>
          <t>42UT</t>
        </is>
      </c>
      <c r="J13" s="98" t="inlineStr">
        <is>
          <t>22PC</t>
        </is>
      </c>
      <c r="K13" s="98" t="inlineStr">
        <is>
          <t>42PC</t>
        </is>
      </c>
    </row>
    <row r="14" ht="15.6" customHeight="1" thickBot="1">
      <c r="B14" s="100" t="inlineStr">
        <is>
          <t>Current Stock</t>
        </is>
      </c>
      <c r="C14" s="101">
        <f>Daily!AG15</f>
        <v/>
      </c>
      <c r="D14" s="101">
        <f>Daily!AH15</f>
        <v/>
      </c>
      <c r="E14" s="101">
        <f>Daily!AI15</f>
        <v/>
      </c>
      <c r="F14" s="101">
        <f>Daily!AJ15</f>
        <v/>
      </c>
      <c r="G14" s="101">
        <f>Daily!AK15</f>
        <v/>
      </c>
      <c r="H14" s="101">
        <f>Daily!AL15</f>
        <v/>
      </c>
      <c r="I14" s="101">
        <f>Daily!AM15</f>
        <v/>
      </c>
      <c r="J14" s="101">
        <f>Daily!AN15</f>
        <v/>
      </c>
      <c r="K14" s="101">
        <f>Daily!AO15</f>
        <v/>
      </c>
    </row>
    <row r="15" ht="15.6" customHeight="1" thickBot="1">
      <c r="B15" s="100" t="inlineStr">
        <is>
          <t>E/P In (this week)</t>
        </is>
      </c>
      <c r="C15" s="251">
        <f>Daily!AG14</f>
        <v/>
      </c>
      <c r="D15" s="251">
        <f>Daily!AH14</f>
        <v/>
      </c>
      <c r="E15" s="251">
        <f>Daily!AI14</f>
        <v/>
      </c>
      <c r="F15" s="251">
        <f>Daily!AJ14</f>
        <v/>
      </c>
      <c r="G15" s="251">
        <f>Daily!AK14</f>
        <v/>
      </c>
      <c r="H15" s="251">
        <f>Daily!AL14</f>
        <v/>
      </c>
      <c r="I15" s="251">
        <f>Daily!AM14</f>
        <v/>
      </c>
      <c r="J15" s="251">
        <f>Daily!AN14</f>
        <v/>
      </c>
      <c r="K15" s="251">
        <f>Daily!AO14</f>
        <v/>
      </c>
    </row>
    <row r="16" ht="15.6" customHeight="1" thickBot="1">
      <c r="B16" s="102" t="n"/>
      <c r="C16" s="103" t="n"/>
      <c r="D16" s="103" t="n"/>
      <c r="E16" s="103" t="n"/>
      <c r="F16" s="103" t="n"/>
      <c r="G16" s="103" t="n"/>
      <c r="H16" s="103" t="n"/>
      <c r="I16" s="103" t="n"/>
      <c r="J16" s="103" t="n"/>
      <c r="K16" s="103" t="n"/>
    </row>
    <row r="17" ht="15.6" customHeight="1" thickBot="1">
      <c r="B17" s="102" t="n"/>
      <c r="C17" s="103" t="n"/>
      <c r="D17" s="103" t="n"/>
      <c r="E17" s="103" t="n"/>
      <c r="F17" s="103" t="n"/>
      <c r="G17" s="103" t="n"/>
      <c r="H17" s="103" t="n"/>
      <c r="I17" s="103" t="n"/>
      <c r="J17" s="103" t="n"/>
      <c r="K17" s="103" t="n"/>
    </row>
    <row r="18" ht="15.6" customHeight="1" thickBot="1">
      <c r="B18" s="104" t="inlineStr">
        <is>
          <t>INBOUND MT RETURN</t>
        </is>
      </c>
      <c r="C18" s="252">
        <f>Daily!X15</f>
        <v/>
      </c>
      <c r="D18" s="252">
        <f>Daily!Y15</f>
        <v/>
      </c>
      <c r="E18" s="252">
        <f>Daily!Z15</f>
        <v/>
      </c>
      <c r="F18" s="252">
        <f>Daily!AA15</f>
        <v/>
      </c>
      <c r="G18" s="252">
        <f>Daily!AB15</f>
        <v/>
      </c>
      <c r="H18" s="252">
        <f>Daily!AC15</f>
        <v/>
      </c>
      <c r="I18" s="252">
        <f>Daily!AD15</f>
        <v/>
      </c>
      <c r="J18" s="252">
        <f>Daily!AE15</f>
        <v/>
      </c>
      <c r="K18" s="252">
        <f>Daily!AF15</f>
        <v/>
      </c>
    </row>
    <row r="19" ht="15.6" customHeight="1" thickBot="1">
      <c r="B19" s="112" t="inlineStr">
        <is>
          <t>Booking(This week)</t>
        </is>
      </c>
      <c r="C19" s="253">
        <f>Daily!X41</f>
        <v/>
      </c>
      <c r="D19" s="253">
        <f>Daily!Y41</f>
        <v/>
      </c>
      <c r="E19" s="253">
        <f>Daily!Z41</f>
        <v/>
      </c>
      <c r="F19" s="253">
        <f>Daily!AA41</f>
        <v/>
      </c>
      <c r="G19" s="253">
        <f>Daily!AB41</f>
        <v/>
      </c>
      <c r="H19" s="253">
        <f>Daily!AC41</f>
        <v/>
      </c>
      <c r="I19" s="256">
        <f>Daily!AD41</f>
        <v/>
      </c>
      <c r="J19" s="256">
        <f>Daily!AE41</f>
        <v/>
      </c>
      <c r="K19" s="253">
        <f>Daily!AF41</f>
        <v/>
      </c>
      <c r="L19" s="95">
        <f>Daily!AD29</f>
        <v/>
      </c>
    </row>
    <row r="20" ht="15.6" customHeight="1" thickBot="1">
      <c r="B20" s="112" t="inlineStr">
        <is>
          <t>Booking(Next week)</t>
        </is>
      </c>
      <c r="C20" s="253">
        <f>Daily!X55</f>
        <v/>
      </c>
      <c r="D20" s="253">
        <f>Daily!Y55</f>
        <v/>
      </c>
      <c r="E20" s="253">
        <f>Daily!Z55</f>
        <v/>
      </c>
      <c r="F20" s="253">
        <f>Daily!AA55</f>
        <v/>
      </c>
      <c r="G20" s="253">
        <f>Daily!AB55</f>
        <v/>
      </c>
      <c r="H20" s="253">
        <f>Daily!AC55</f>
        <v/>
      </c>
      <c r="I20" s="253">
        <f>Daily!AD55</f>
        <v/>
      </c>
      <c r="J20" s="253">
        <f>Daily!AE55</f>
        <v/>
      </c>
      <c r="K20" s="253">
        <f>Daily!AF55</f>
        <v/>
      </c>
      <c r="L20" s="95">
        <f>Daily!AD43</f>
        <v/>
      </c>
    </row>
    <row r="21" ht="15.6" customHeight="1" thickBot="1">
      <c r="B21" s="108" t="inlineStr">
        <is>
          <t>Balance</t>
        </is>
      </c>
      <c r="C21" s="254">
        <f>SUM(C14+C15+C16+C17+C18-C19-C20)</f>
        <v/>
      </c>
      <c r="D21" s="255">
        <f>SUM(D14+D15+D16+D17+D18-D19-D20)</f>
        <v/>
      </c>
      <c r="E21" s="254">
        <f>SUM(E14+E15+E16+E17+E18-E19-E20)</f>
        <v/>
      </c>
      <c r="F21" s="254">
        <f>SUM(F14+F15+F16+F17+F18-F19-F20)</f>
        <v/>
      </c>
      <c r="G21" s="254">
        <f>SUM(G14+G15+G16+G17+G18-G19-G20)</f>
        <v/>
      </c>
      <c r="H21" s="255">
        <f>SUM(H14+H15+H16+H17+H18-H19-H20)</f>
        <v/>
      </c>
      <c r="I21" s="254">
        <f>SUM(I14+I15+I16+I17+I18-I19-I20)</f>
        <v/>
      </c>
      <c r="J21" s="254">
        <f>SUM(J14+J15+J16+J17+J18-J19-J20)</f>
        <v/>
      </c>
      <c r="K21" s="254">
        <f>SUM(K14+K15+K16+K17+K18-K19-K20)</f>
        <v/>
      </c>
    </row>
  </sheetData>
  <mergeCells count="2">
    <mergeCell ref="B12:K12"/>
    <mergeCell ref="B1:K1"/>
  </mergeCells>
  <pageMargins left="0.7" right="0.7" top="0.75" bottom="0.75" header="0.3" footer="0.3"/>
  <pageSetup orientation="portrait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PT</dc:creator>
  <dcterms:created xmlns:dcterms="http://purl.org/dc/terms/" xmlns:xsi="http://www.w3.org/2001/XMLSchema-instance" xsi:type="dcterms:W3CDTF">2017-07-14T08:45:38Z</dcterms:created>
  <dcterms:modified xmlns:dcterms="http://purl.org/dc/terms/" xmlns:xsi="http://www.w3.org/2001/XMLSchema-instance" xsi:type="dcterms:W3CDTF">2026-10-15T01:33:00Z</dcterms:modified>
  <cp:lastModifiedBy>office4</cp:lastModifiedBy>
  <cp:lastPrinted>2024-09-09T03:49:54Z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0x010100914857A4227435469362FDDEDB128B4D</vt:lpwstr>
  </property>
</Properties>
</file>