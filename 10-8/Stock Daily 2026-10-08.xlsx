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46303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242</v>
      </c>
      <c r="D4" s="207" t="n">
        <v>1</v>
      </c>
      <c r="E4" s="207" t="n">
        <v>154</v>
      </c>
      <c r="F4" s="207" t="n">
        <v>3</v>
      </c>
      <c r="G4" s="207" t="n">
        <v>6</v>
      </c>
      <c r="H4" s="207" t="n"/>
      <c r="I4" s="207" t="n"/>
      <c r="J4" s="207" t="n"/>
      <c r="K4" s="208" t="n"/>
      <c r="L4" s="209" t="n">
        <v>5</v>
      </c>
      <c r="M4" s="210" t="n"/>
      <c r="N4" s="210" t="n">
        <v>37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42</v>
      </c>
      <c r="Y4" s="207" t="n"/>
      <c r="Z4" s="207" t="n">
        <v>55</v>
      </c>
      <c r="AA4" s="207" t="n"/>
      <c r="AB4" s="207" t="n">
        <v>2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26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15</v>
      </c>
      <c r="D5" s="215" t="n"/>
      <c r="E5" s="215" t="n">
        <v>14</v>
      </c>
      <c r="F5" s="215" t="n">
        <v>1</v>
      </c>
      <c r="G5" s="215" t="n"/>
      <c r="H5" s="215" t="n"/>
      <c r="I5" s="215" t="n"/>
      <c r="J5" s="215" t="n"/>
      <c r="K5" s="216" t="n"/>
      <c r="L5" s="217" t="n">
        <v>53</v>
      </c>
      <c r="M5" s="215" t="n"/>
      <c r="N5" s="215" t="n">
        <v>8</v>
      </c>
      <c r="O5" s="215" t="n">
        <v>6</v>
      </c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23</v>
      </c>
      <c r="Y5" s="215" t="n"/>
      <c r="Z5" s="215" t="n">
        <v>78</v>
      </c>
      <c r="AA5" s="215" t="n">
        <v>1</v>
      </c>
      <c r="AB5" s="215" t="n">
        <v>4</v>
      </c>
      <c r="AC5" s="215" t="n"/>
      <c r="AD5" s="215" t="n"/>
      <c r="AE5" s="215" t="n"/>
      <c r="AF5" s="216" t="n"/>
      <c r="AG5" s="217" t="n">
        <v>89</v>
      </c>
      <c r="AH5" s="215" t="n"/>
      <c r="AI5" s="215" t="n">
        <v>1</v>
      </c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13</v>
      </c>
      <c r="D6" s="215" t="n"/>
      <c r="E6" s="215" t="n">
        <v>24</v>
      </c>
      <c r="F6" s="215" t="n"/>
      <c r="G6" s="215" t="n">
        <v>1</v>
      </c>
      <c r="H6" s="215" t="n"/>
      <c r="I6" s="215" t="n"/>
      <c r="J6" s="215" t="n"/>
      <c r="K6" s="216" t="n"/>
      <c r="L6" s="217" t="n"/>
      <c r="M6" s="215" t="n"/>
      <c r="N6" s="215" t="n">
        <v>14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2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136" t="inlineStr">
        <is>
          <t>BMTP</t>
        </is>
      </c>
      <c r="B7" s="137" t="inlineStr">
        <is>
          <t>ICD</t>
        </is>
      </c>
      <c r="C7" s="214" t="n">
        <v>1</v>
      </c>
      <c r="D7" s="215" t="n"/>
      <c r="E7" s="215" t="n"/>
      <c r="F7" s="215" t="n"/>
      <c r="G7" s="215" t="n"/>
      <c r="H7" s="215" t="n"/>
      <c r="I7" s="215" t="n"/>
      <c r="J7" s="215" t="n"/>
      <c r="K7" s="216" t="n"/>
      <c r="L7" s="217" t="n"/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42</v>
      </c>
      <c r="Y7" s="215" t="n"/>
      <c r="Z7" s="215" t="n">
        <v>69</v>
      </c>
      <c r="AA7" s="215" t="n"/>
      <c r="AB7" s="215" t="n"/>
      <c r="AC7" s="215" t="n"/>
      <c r="AD7" s="215" t="n"/>
      <c r="AE7" s="215" t="n"/>
      <c r="AF7" s="216" t="n"/>
      <c r="AG7" s="217" t="n">
        <v>70</v>
      </c>
      <c r="AH7" s="215" t="n"/>
      <c r="AI7" s="215" t="n">
        <v>2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706</v>
      </c>
      <c r="M8" s="223" t="n"/>
      <c r="N8" s="223" t="n">
        <v>848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886</v>
      </c>
      <c r="AH8" s="223" t="n"/>
      <c r="AI8" s="223" t="n">
        <v>281</v>
      </c>
      <c r="AJ8" s="223" t="n">
        <v>7</v>
      </c>
      <c r="AK8" s="223" t="n">
        <v>53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779</v>
      </c>
      <c r="M9" s="223" t="n">
        <v>4</v>
      </c>
      <c r="N9" s="223" t="n">
        <v>475</v>
      </c>
      <c r="O9" s="223" t="n">
        <v>33</v>
      </c>
      <c r="P9" s="223" t="n">
        <v>38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22</v>
      </c>
      <c r="AH9" s="223" t="n"/>
      <c r="AI9" s="223" t="n">
        <v>21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35" t="n"/>
      <c r="B10" s="36" t="n"/>
      <c r="C10" s="41" t="n"/>
      <c r="D10" s="28" t="n"/>
      <c r="E10" s="28" t="n"/>
      <c r="F10" s="28" t="n"/>
      <c r="G10" s="28" t="n"/>
      <c r="H10" s="28" t="n"/>
      <c r="I10" s="28" t="n"/>
      <c r="J10" s="28" t="n"/>
      <c r="K10" s="42" t="n"/>
      <c r="L10" s="35" t="n"/>
      <c r="M10" s="29" t="n"/>
      <c r="N10" s="29" t="n"/>
      <c r="O10" s="29" t="n"/>
      <c r="P10" s="29" t="n"/>
      <c r="Q10" s="29" t="n"/>
      <c r="R10" s="29" t="n"/>
      <c r="S10" s="29" t="n"/>
      <c r="T10" s="30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1117</v>
      </c>
      <c r="AH10" s="223" t="n">
        <v>2</v>
      </c>
      <c r="AI10" s="223" t="n">
        <v>823</v>
      </c>
      <c r="AJ10" s="223" t="n"/>
      <c r="AK10" s="223" t="n"/>
      <c r="AL10" s="223" t="n">
        <v>1</v>
      </c>
      <c r="AM10" s="223" t="n">
        <v>2</v>
      </c>
      <c r="AN10" s="223" t="n">
        <v>3</v>
      </c>
      <c r="AO10" s="224" t="n">
        <v>1</v>
      </c>
    </row>
    <row r="11" ht="15" customHeight="1">
      <c r="A11" s="43" t="n"/>
      <c r="B11" s="44" t="n"/>
      <c r="C11" s="41" t="n"/>
      <c r="D11" s="28" t="n"/>
      <c r="E11" s="28" t="n"/>
      <c r="F11" s="28" t="n"/>
      <c r="G11" s="28" t="n"/>
      <c r="H11" s="28" t="n"/>
      <c r="I11" s="28" t="n"/>
      <c r="J11" s="28" t="n"/>
      <c r="K11" s="42" t="n"/>
      <c r="L11" s="35" t="n"/>
      <c r="M11" s="29" t="n"/>
      <c r="N11" s="29" t="n"/>
      <c r="O11" s="29" t="n"/>
      <c r="P11" s="29" t="n"/>
      <c r="Q11" s="29" t="n"/>
      <c r="R11" s="29" t="n"/>
      <c r="S11" s="29" t="n"/>
      <c r="T11" s="30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>
        <v>220</v>
      </c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70</v>
      </c>
      <c r="AH14" s="51" t="n"/>
      <c r="AI14" s="51" t="n">
        <v>48</v>
      </c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08-11/10/2026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08-11/10/2026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7</v>
      </c>
      <c r="D31" s="207" t="n"/>
      <c r="E31" s="207" t="n">
        <v>19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31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7</v>
      </c>
      <c r="D32" s="215" t="n"/>
      <c r="E32" s="215" t="n">
        <v>1</v>
      </c>
      <c r="F32" s="215" t="n"/>
      <c r="G32" s="215" t="n"/>
      <c r="H32" s="215" t="n"/>
      <c r="I32" s="215" t="n"/>
      <c r="J32" s="215" t="n"/>
      <c r="K32" s="216" t="n"/>
      <c r="L32" s="232">
        <f>SUM(L5-C32)</f>
        <v/>
      </c>
      <c r="M32" s="233">
        <f>SUM(M5-D32)</f>
        <v/>
      </c>
      <c r="N32" s="233">
        <f>SUM(N5-E32)</f>
        <v/>
      </c>
      <c r="O32" s="233">
        <f>SUM(O5-F32)</f>
        <v/>
      </c>
      <c r="P32" s="233">
        <f>SUM(P5-G32)</f>
        <v/>
      </c>
      <c r="Q32" s="233">
        <f>SUM(Q5-H32)</f>
        <v/>
      </c>
      <c r="R32" s="233">
        <f>SUM(R5-I32)</f>
        <v/>
      </c>
      <c r="S32" s="233">
        <f>SUM(S5-J32)</f>
        <v/>
      </c>
      <c r="T32" s="234">
        <f>SUM(T5-K32)</f>
        <v/>
      </c>
      <c r="V32" s="23" t="inlineStr">
        <is>
          <t>ESCO</t>
        </is>
      </c>
      <c r="W32" s="24" t="inlineStr">
        <is>
          <t>TERMINAL</t>
        </is>
      </c>
      <c r="X32" s="235" t="n"/>
      <c r="Y32" s="236" t="n"/>
      <c r="Z32" s="236" t="n"/>
      <c r="AA32" s="236" t="n"/>
      <c r="AB32" s="236" t="n"/>
      <c r="AC32" s="236" t="n"/>
      <c r="AD32" s="236" t="n"/>
      <c r="AE32" s="236" t="n"/>
      <c r="AF32" s="237" t="n"/>
      <c r="AG32" s="232" t="n"/>
      <c r="AH32" s="233" t="n"/>
      <c r="AI32" s="233" t="n"/>
      <c r="AJ32" s="233" t="n"/>
      <c r="AK32" s="233" t="n"/>
      <c r="AL32" s="233" t="n"/>
      <c r="AM32" s="233" t="n"/>
      <c r="AN32" s="233" t="n"/>
      <c r="AO32" s="234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2">
        <f>SUM(L6-C33)</f>
        <v/>
      </c>
      <c r="M33" s="233">
        <f>SUM(M6-D33)</f>
        <v/>
      </c>
      <c r="N33" s="233">
        <f>SUM(N6-E33)</f>
        <v/>
      </c>
      <c r="O33" s="233">
        <f>SUM(O6-F33)</f>
        <v/>
      </c>
      <c r="P33" s="233">
        <f>SUM(P6-G33)</f>
        <v/>
      </c>
      <c r="Q33" s="233">
        <f>SUM(Q6-H33)</f>
        <v/>
      </c>
      <c r="R33" s="233">
        <f>SUM(R6-I33)</f>
        <v/>
      </c>
      <c r="S33" s="233">
        <f>SUM(S6-J33)</f>
        <v/>
      </c>
      <c r="T33" s="234">
        <f>SUM(T6-K33)</f>
        <v/>
      </c>
      <c r="V33" s="23" t="inlineStr">
        <is>
          <t>LCIT</t>
        </is>
      </c>
      <c r="W33" s="24" t="inlineStr">
        <is>
          <t>TERMINAL</t>
        </is>
      </c>
      <c r="X33" s="235" t="n"/>
      <c r="Y33" s="236" t="n"/>
      <c r="Z33" s="236" t="n"/>
      <c r="AA33" s="236" t="n"/>
      <c r="AB33" s="236" t="n"/>
      <c r="AC33" s="236" t="n"/>
      <c r="AD33" s="236" t="n"/>
      <c r="AE33" s="236" t="n"/>
      <c r="AF33" s="237" t="n"/>
      <c r="AG33" s="232" t="n"/>
      <c r="AH33" s="233" t="n"/>
      <c r="AI33" s="233" t="n"/>
      <c r="AJ33" s="233" t="n"/>
      <c r="AK33" s="233" t="n"/>
      <c r="AL33" s="233" t="n"/>
      <c r="AM33" s="233" t="n"/>
      <c r="AN33" s="233" t="n"/>
      <c r="AO33" s="234" t="n"/>
    </row>
    <row r="34" ht="15" customHeight="1">
      <c r="A34" s="136" t="inlineStr">
        <is>
          <t>BMTP</t>
        </is>
      </c>
      <c r="B34" s="137" t="inlineStr">
        <is>
          <t>ICD</t>
        </is>
      </c>
      <c r="C34" s="235" t="n"/>
      <c r="D34" s="236" t="n"/>
      <c r="E34" s="236" t="n"/>
      <c r="F34" s="236" t="n"/>
      <c r="G34" s="236" t="n"/>
      <c r="H34" s="236" t="n"/>
      <c r="I34" s="236" t="n"/>
      <c r="J34" s="236" t="n"/>
      <c r="K34" s="237" t="n"/>
      <c r="L34" s="232">
        <f>SUM(L7-C34)</f>
        <v/>
      </c>
      <c r="M34" s="233">
        <f>SUM(M7-D34)</f>
        <v/>
      </c>
      <c r="N34" s="233">
        <f>SUM(N7-E34)</f>
        <v/>
      </c>
      <c r="O34" s="233">
        <f>SUM(O7-F34)</f>
        <v/>
      </c>
      <c r="P34" s="233">
        <f>SUM(P7-G34)</f>
        <v/>
      </c>
      <c r="Q34" s="233">
        <f>SUM(Q7-H34)</f>
        <v/>
      </c>
      <c r="R34" s="233">
        <f>SUM(R7-I34)</f>
        <v/>
      </c>
      <c r="S34" s="233">
        <f>SUM(S7-J34)</f>
        <v/>
      </c>
      <c r="T34" s="234">
        <f>SUM(T7-K34)</f>
        <v/>
      </c>
      <c r="V34" s="23" t="inlineStr">
        <is>
          <t>HPT</t>
        </is>
      </c>
      <c r="W34" s="24" t="inlineStr">
        <is>
          <t>TERMINAL</t>
        </is>
      </c>
      <c r="X34" s="235" t="n"/>
      <c r="Y34" s="236" t="n"/>
      <c r="Z34" s="236" t="n"/>
      <c r="AA34" s="236" t="n"/>
      <c r="AB34" s="236" t="n"/>
      <c r="AC34" s="236" t="n"/>
      <c r="AD34" s="236" t="n"/>
      <c r="AE34" s="236" t="n"/>
      <c r="AF34" s="237" t="n"/>
      <c r="AG34" s="232" t="n"/>
      <c r="AH34" s="233" t="n"/>
      <c r="AI34" s="233" t="n"/>
      <c r="AJ34" s="233" t="n"/>
      <c r="AK34" s="233" t="n"/>
      <c r="AL34" s="233" t="n"/>
      <c r="AM34" s="233" t="n"/>
      <c r="AN34" s="233" t="n"/>
      <c r="AO34" s="234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69</v>
      </c>
      <c r="D35" s="223" t="n"/>
      <c r="E35" s="223" t="n">
        <v>24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54</v>
      </c>
      <c r="Y35" s="223" t="n"/>
      <c r="Z35" s="223" t="n">
        <v>33</v>
      </c>
      <c r="AA35" s="223" t="n"/>
      <c r="AB35" s="223" t="n">
        <v>20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123</v>
      </c>
      <c r="D36" s="223" t="n"/>
      <c r="E36" s="223" t="n">
        <v>128</v>
      </c>
      <c r="F36" s="223" t="n">
        <v>2</v>
      </c>
      <c r="G36" s="223" t="n">
        <v>16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5</v>
      </c>
      <c r="Y36" s="223" t="n"/>
      <c r="Z36" s="223" t="n">
        <v>6</v>
      </c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43" t="n"/>
      <c r="B37" s="44" t="n"/>
      <c r="C37" s="48" t="n"/>
      <c r="D37" s="49" t="n"/>
      <c r="E37" s="49" t="n"/>
      <c r="F37" s="49" t="n"/>
      <c r="G37" s="49" t="n"/>
      <c r="H37" s="49" t="n"/>
      <c r="I37" s="49" t="n"/>
      <c r="J37" s="49" t="n"/>
      <c r="K37" s="82" t="n"/>
      <c r="L37" s="243">
        <f>SUM(L10-C37)</f>
        <v/>
      </c>
      <c r="M37" s="244">
        <f>SUM(M10-D37)</f>
        <v/>
      </c>
      <c r="N37" s="244">
        <f>SUM(N10-E37)</f>
        <v/>
      </c>
      <c r="O37" s="244">
        <f>SUM(O10-F37)</f>
        <v/>
      </c>
      <c r="P37" s="244">
        <f>SUM(P10-G37)</f>
        <v/>
      </c>
      <c r="Q37" s="244">
        <f>SUM(Q10-H37)</f>
        <v/>
      </c>
      <c r="R37" s="244">
        <f>SUM(R10-I37)</f>
        <v/>
      </c>
      <c r="S37" s="244">
        <f>SUM(S10-J37)</f>
        <v/>
      </c>
      <c r="T37" s="245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200</v>
      </c>
      <c r="Y37" s="223" t="n"/>
      <c r="Z37" s="223" t="n">
        <v>116</v>
      </c>
      <c r="AA37" s="223" t="n"/>
      <c r="AB37" s="223" t="n"/>
      <c r="AC37" s="223" t="n"/>
      <c r="AD37" s="223" t="n"/>
      <c r="AE37" s="223" t="n">
        <v>1</v>
      </c>
      <c r="AF37" s="239" t="n">
        <v>1</v>
      </c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43" t="n"/>
      <c r="B38" s="44" t="n"/>
      <c r="C38" s="48" t="n"/>
      <c r="D38" s="49" t="n"/>
      <c r="E38" s="49" t="n"/>
      <c r="F38" s="49" t="n"/>
      <c r="G38" s="49" t="n"/>
      <c r="H38" s="49" t="n"/>
      <c r="I38" s="49" t="n"/>
      <c r="J38" s="49" t="n"/>
      <c r="K38" s="82" t="n"/>
      <c r="L38" s="243">
        <f>SUM(L11-C38)</f>
        <v/>
      </c>
      <c r="M38" s="244">
        <f>SUM(M11-D38)</f>
        <v/>
      </c>
      <c r="N38" s="244">
        <f>SUM(N11-E38)</f>
        <v/>
      </c>
      <c r="O38" s="244">
        <f>SUM(O11-F38)</f>
        <v/>
      </c>
      <c r="P38" s="244">
        <f>SUM(P11-G38)</f>
        <v/>
      </c>
      <c r="Q38" s="244">
        <f>SUM(Q11-H38)</f>
        <v/>
      </c>
      <c r="R38" s="244">
        <f>SUM(R11-I38)</f>
        <v/>
      </c>
      <c r="S38" s="244">
        <f>SUM(S11-J38)</f>
        <v/>
      </c>
      <c r="T38" s="24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12-18/10/2026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12-18/10/2026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13</v>
      </c>
      <c r="D45" s="207" t="n"/>
      <c r="E45" s="207" t="n">
        <v>35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31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7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2">
        <f>SUM(L32-C46)</f>
        <v/>
      </c>
      <c r="M46" s="233">
        <f>SUM(M32-D46)</f>
        <v/>
      </c>
      <c r="N46" s="233">
        <f>SUM(N32-E46)</f>
        <v/>
      </c>
      <c r="O46" s="233">
        <f>SUM(O32-F46)</f>
        <v/>
      </c>
      <c r="P46" s="233">
        <f>SUM(P32-G46)</f>
        <v/>
      </c>
      <c r="Q46" s="233">
        <f>SUM(Q32-H46)</f>
        <v/>
      </c>
      <c r="R46" s="233">
        <f>SUM(R32-I46)</f>
        <v/>
      </c>
      <c r="S46" s="233">
        <f>SUM(S32-J46)</f>
        <v/>
      </c>
      <c r="T46" s="234">
        <f>SUM(T32-K46)</f>
        <v/>
      </c>
      <c r="V46" s="23" t="inlineStr">
        <is>
          <t>ESCO</t>
        </is>
      </c>
      <c r="W46" s="24" t="inlineStr">
        <is>
          <t>TERMINAL</t>
        </is>
      </c>
      <c r="X46" s="235" t="n"/>
      <c r="Y46" s="236" t="n"/>
      <c r="Z46" s="236" t="n"/>
      <c r="AA46" s="236" t="n"/>
      <c r="AB46" s="236" t="n"/>
      <c r="AC46" s="236" t="n"/>
      <c r="AD46" s="236" t="n"/>
      <c r="AE46" s="236" t="n"/>
      <c r="AF46" s="237" t="n"/>
      <c r="AG46" s="232" t="n"/>
      <c r="AH46" s="233" t="n"/>
      <c r="AI46" s="233" t="n"/>
      <c r="AJ46" s="233" t="n"/>
      <c r="AK46" s="233" t="n"/>
      <c r="AL46" s="233" t="n"/>
      <c r="AM46" s="233" t="n"/>
      <c r="AN46" s="233" t="n"/>
      <c r="AO46" s="234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>
        <v>1</v>
      </c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50">
        <f>SUM(L33-C47)</f>
        <v/>
      </c>
      <c r="M47" s="233">
        <f>SUM(M33-D47)</f>
        <v/>
      </c>
      <c r="N47" s="233">
        <f>SUM(N33-E47)</f>
        <v/>
      </c>
      <c r="O47" s="233">
        <f>SUM(O33-F47)</f>
        <v/>
      </c>
      <c r="P47" s="233">
        <f>SUM(P33-G47)</f>
        <v/>
      </c>
      <c r="Q47" s="233">
        <f>SUM(Q33-H47)</f>
        <v/>
      </c>
      <c r="R47" s="233">
        <f>SUM(R33-I47)</f>
        <v/>
      </c>
      <c r="S47" s="233">
        <f>SUM(S33-J47)</f>
        <v/>
      </c>
      <c r="T47" s="234">
        <f>SUM(T33-K47)</f>
        <v/>
      </c>
      <c r="V47" s="23" t="inlineStr">
        <is>
          <t>LCIT</t>
        </is>
      </c>
      <c r="W47" s="24" t="inlineStr">
        <is>
          <t>TERMINAL</t>
        </is>
      </c>
      <c r="X47" s="235" t="n"/>
      <c r="Y47" s="236" t="n"/>
      <c r="Z47" s="236" t="n"/>
      <c r="AA47" s="236" t="n"/>
      <c r="AB47" s="236" t="n"/>
      <c r="AC47" s="236" t="n"/>
      <c r="AD47" s="236" t="n"/>
      <c r="AE47" s="236" t="n"/>
      <c r="AF47" s="237" t="n"/>
      <c r="AG47" s="232" t="n"/>
      <c r="AH47" s="233" t="n"/>
      <c r="AI47" s="233" t="n"/>
      <c r="AJ47" s="233" t="n"/>
      <c r="AK47" s="233" t="n"/>
      <c r="AL47" s="233" t="n"/>
      <c r="AM47" s="233" t="n"/>
      <c r="AN47" s="233" t="n"/>
      <c r="AO47" s="234" t="n"/>
    </row>
    <row r="48" ht="15" customHeight="1">
      <c r="A48" s="136" t="inlineStr">
        <is>
          <t>BMTP</t>
        </is>
      </c>
      <c r="B48" s="137" t="inlineStr">
        <is>
          <t>ICD</t>
        </is>
      </c>
      <c r="C48" s="235" t="n"/>
      <c r="D48" s="236" t="n"/>
      <c r="E48" s="236" t="n"/>
      <c r="F48" s="236" t="n"/>
      <c r="G48" s="236" t="n"/>
      <c r="H48" s="236" t="n"/>
      <c r="I48" s="236" t="n"/>
      <c r="J48" s="236" t="n"/>
      <c r="K48" s="237" t="n"/>
      <c r="L48" s="232">
        <f>SUM(L34-C48)</f>
        <v/>
      </c>
      <c r="M48" s="233">
        <f>SUM(M34-D48)</f>
        <v/>
      </c>
      <c r="N48" s="233">
        <f>SUM(N34-E48)</f>
        <v/>
      </c>
      <c r="O48" s="233">
        <f>SUM(O34-F48)</f>
        <v/>
      </c>
      <c r="P48" s="233">
        <f>SUM(P34-G48)</f>
        <v/>
      </c>
      <c r="Q48" s="233">
        <f>SUM(Q34-H48)</f>
        <v/>
      </c>
      <c r="R48" s="233">
        <f>SUM(R34-I48)</f>
        <v/>
      </c>
      <c r="S48" s="233">
        <f>SUM(S34-J48)</f>
        <v/>
      </c>
      <c r="T48" s="234">
        <f>SUM(T34-K48)</f>
        <v/>
      </c>
      <c r="V48" s="23" t="inlineStr">
        <is>
          <t>HPT</t>
        </is>
      </c>
      <c r="W48" s="24" t="inlineStr">
        <is>
          <t>TERMINAL</t>
        </is>
      </c>
      <c r="X48" s="235" t="n"/>
      <c r="Y48" s="236" t="n"/>
      <c r="Z48" s="236" t="n"/>
      <c r="AA48" s="236" t="n"/>
      <c r="AB48" s="236" t="n"/>
      <c r="AC48" s="236" t="n"/>
      <c r="AD48" s="236" t="n"/>
      <c r="AE48" s="236" t="n"/>
      <c r="AF48" s="237" t="n"/>
      <c r="AG48" s="232" t="n"/>
      <c r="AH48" s="233" t="n"/>
      <c r="AI48" s="233" t="n"/>
      <c r="AJ48" s="233" t="n"/>
      <c r="AK48" s="233" t="n"/>
      <c r="AL48" s="233" t="n"/>
      <c r="AM48" s="233" t="n"/>
      <c r="AN48" s="233" t="n"/>
      <c r="AO48" s="234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52</v>
      </c>
      <c r="D49" s="223" t="n"/>
      <c r="E49" s="223" t="n">
        <v>12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69</v>
      </c>
      <c r="Y49" s="223" t="n"/>
      <c r="Z49" s="223" t="n">
        <v>59</v>
      </c>
      <c r="AA49" s="223" t="n">
        <v>2</v>
      </c>
      <c r="AB49" s="223" t="n">
        <v>35</v>
      </c>
      <c r="AC49" s="223" t="n"/>
      <c r="AD49" s="223" t="n"/>
      <c r="AE49" s="223" t="n"/>
      <c r="AF49" s="239" t="n"/>
      <c r="AG49" s="240">
        <f>SUM(AG35-X49)</f>
        <v/>
      </c>
      <c r="AH49" s="241">
        <f>SUM(AH35-Y49)</f>
        <v/>
      </c>
      <c r="AI49" s="241">
        <f>SUM(AI35-Z49)</f>
        <v/>
      </c>
      <c r="AJ49" s="241">
        <f>SUM(AJ35-AA49)</f>
        <v/>
      </c>
      <c r="AK49" s="25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210</v>
      </c>
      <c r="D50" s="223" t="n"/>
      <c r="E50" s="223" t="n">
        <v>157</v>
      </c>
      <c r="F50" s="223" t="n">
        <v>4</v>
      </c>
      <c r="G50" s="223" t="n">
        <v>13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41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/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43" t="n"/>
      <c r="B51" s="44" t="n"/>
      <c r="C51" s="41" t="n"/>
      <c r="D51" s="28" t="n"/>
      <c r="E51" s="28" t="n"/>
      <c r="F51" s="28" t="n"/>
      <c r="G51" s="28" t="n"/>
      <c r="H51" s="28" t="n"/>
      <c r="I51" s="28" t="n"/>
      <c r="J51" s="28" t="n"/>
      <c r="K51" s="42" t="n"/>
      <c r="L51" s="243">
        <f>SUM(L37-C51)</f>
        <v/>
      </c>
      <c r="M51" s="244">
        <f>SUM(M37-D51)</f>
        <v/>
      </c>
      <c r="N51" s="244">
        <f>SUM(N37-E51)</f>
        <v/>
      </c>
      <c r="O51" s="244">
        <f>SUM(O37-F51)</f>
        <v/>
      </c>
      <c r="P51" s="244">
        <f>SUM(P37-G51)</f>
        <v/>
      </c>
      <c r="Q51" s="244">
        <f>SUM(Q37-H51)</f>
        <v/>
      </c>
      <c r="R51" s="244">
        <f>SUM(R37-I51)</f>
        <v/>
      </c>
      <c r="S51" s="244">
        <f>SUM(S37-J51)</f>
        <v/>
      </c>
      <c r="T51" s="245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238</v>
      </c>
      <c r="Y51" s="223" t="n"/>
      <c r="Z51" s="223" t="n">
        <v>233</v>
      </c>
      <c r="AA51" s="223" t="n"/>
      <c r="AB51" s="223" t="n">
        <v>1</v>
      </c>
      <c r="AC51" s="223" t="n">
        <v>1</v>
      </c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5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43" t="n"/>
      <c r="B52" s="44" t="n"/>
      <c r="C52" s="41" t="n"/>
      <c r="D52" s="28" t="n"/>
      <c r="E52" s="28" t="n"/>
      <c r="F52" s="28" t="n"/>
      <c r="G52" s="28" t="n"/>
      <c r="H52" s="28" t="n"/>
      <c r="I52" s="28" t="n"/>
      <c r="J52" s="28" t="n"/>
      <c r="K52" s="42" t="n"/>
      <c r="L52" s="243">
        <f>SUM(L38-C52)</f>
        <v/>
      </c>
      <c r="M52" s="244">
        <f>SUM(M38-D52)</f>
        <v/>
      </c>
      <c r="N52" s="244">
        <f>SUM(N38-E52)</f>
        <v/>
      </c>
      <c r="O52" s="244">
        <f>SUM(O38-F52)</f>
        <v/>
      </c>
      <c r="P52" s="244">
        <f>SUM(P38-G52)</f>
        <v/>
      </c>
      <c r="Q52" s="244">
        <f>SUM(Q38-H52)</f>
        <v/>
      </c>
      <c r="R52" s="244">
        <f>SUM(R38-I52)</f>
        <v/>
      </c>
      <c r="S52" s="244">
        <f>SUM(S38-J52)</f>
        <v/>
      </c>
      <c r="T52" s="24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15:B15"/>
    <mergeCell ref="AG2:AL2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8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>
        <v>2</v>
      </c>
      <c r="H5" s="125" t="n"/>
      <c r="I5" s="125" t="n"/>
    </row>
    <row r="6" ht="16.15" customHeight="1">
      <c r="A6" s="124" t="n">
        <v>2021</v>
      </c>
      <c r="B6" s="125" t="n">
        <v>6</v>
      </c>
      <c r="C6" s="125" t="n"/>
      <c r="D6" s="125" t="n"/>
      <c r="F6" s="124" t="n">
        <v>2021</v>
      </c>
      <c r="G6" s="125" t="n">
        <v>3</v>
      </c>
      <c r="H6" s="125" t="n"/>
      <c r="I6" s="125" t="n"/>
    </row>
    <row r="7" ht="16.15" customHeight="1">
      <c r="A7" s="124" t="n">
        <v>2020</v>
      </c>
      <c r="B7" s="125" t="n">
        <v>5</v>
      </c>
      <c r="C7" s="125" t="n"/>
      <c r="D7" s="125" t="n"/>
      <c r="F7" s="124" t="n">
        <v>2020</v>
      </c>
      <c r="G7" s="125" t="n">
        <v>11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2">
        <f>Daily!L14</f>
        <v/>
      </c>
      <c r="D4" s="252">
        <f>Daily!M14</f>
        <v/>
      </c>
      <c r="E4" s="252">
        <f>Daily!N14</f>
        <v/>
      </c>
      <c r="F4" s="252">
        <f>Daily!O14</f>
        <v/>
      </c>
      <c r="G4" s="252">
        <f>Daily!P14</f>
        <v/>
      </c>
      <c r="H4" s="252">
        <f>Daily!Q14</f>
        <v/>
      </c>
      <c r="I4" s="252">
        <f>Daily!R14</f>
        <v/>
      </c>
      <c r="J4" s="252">
        <f>Daily!S14</f>
        <v/>
      </c>
      <c r="K4" s="252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3">
        <f>Daily!C15</f>
        <v/>
      </c>
      <c r="D7" s="253">
        <f>Daily!D15</f>
        <v/>
      </c>
      <c r="E7" s="253">
        <f>Daily!E15</f>
        <v/>
      </c>
      <c r="F7" s="253">
        <f>Daily!F15</f>
        <v/>
      </c>
      <c r="G7" s="253">
        <f>Daily!G15</f>
        <v/>
      </c>
      <c r="H7" s="253">
        <f>Daily!H15</f>
        <v/>
      </c>
      <c r="I7" s="253">
        <f>Daily!I15</f>
        <v/>
      </c>
      <c r="J7" s="253">
        <f>Daily!J15</f>
        <v/>
      </c>
      <c r="K7" s="253">
        <f>Daily!K15</f>
        <v/>
      </c>
    </row>
    <row r="8" ht="15.6" customHeight="1" thickBot="1">
      <c r="B8" s="100" t="inlineStr">
        <is>
          <t>Booking(This week)</t>
        </is>
      </c>
      <c r="C8" s="252">
        <f>Daily!C41</f>
        <v/>
      </c>
      <c r="D8" s="252">
        <f>Daily!D41</f>
        <v/>
      </c>
      <c r="E8" s="252">
        <f>Daily!E41</f>
        <v/>
      </c>
      <c r="F8" s="252">
        <f>Daily!F41</f>
        <v/>
      </c>
      <c r="G8" s="252">
        <f>Daily!G41</f>
        <v/>
      </c>
      <c r="H8" s="252">
        <f>Daily!H41</f>
        <v/>
      </c>
      <c r="I8" s="252">
        <f>Daily!I41</f>
        <v/>
      </c>
      <c r="J8" s="252">
        <f>Daily!J41</f>
        <v/>
      </c>
      <c r="K8" s="252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4">
        <f>Daily!C55</f>
        <v/>
      </c>
      <c r="D9" s="254">
        <f>Daily!D55</f>
        <v/>
      </c>
      <c r="E9" s="254">
        <f>Daily!E55</f>
        <v/>
      </c>
      <c r="F9" s="254">
        <f>Daily!F55</f>
        <v/>
      </c>
      <c r="G9" s="254">
        <f>Daily!G55</f>
        <v/>
      </c>
      <c r="H9" s="254">
        <f>Daily!H55</f>
        <v/>
      </c>
      <c r="I9" s="254">
        <f>Daily!I55</f>
        <v/>
      </c>
      <c r="J9" s="254">
        <f>Daily!J55</f>
        <v/>
      </c>
      <c r="K9" s="254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5">
        <f>SUM(C3+C4+C5+C6+C7-C8-C9)</f>
        <v/>
      </c>
      <c r="D10" s="255">
        <f>SUM(D3+D4+D5+D6+D7-D8-D9)</f>
        <v/>
      </c>
      <c r="E10" s="255">
        <f>SUM(E3+E4+E5+E6+E7-E8-E9)</f>
        <v/>
      </c>
      <c r="F10" s="255">
        <f>SUM(F3+F4+F5+F6+F7-F8-F9)</f>
        <v/>
      </c>
      <c r="G10" s="255">
        <f>SUM(G3+G4+G5+G6+G7-G8-G9)</f>
        <v/>
      </c>
      <c r="H10" s="256">
        <f>SUM(H3+H4+H5+H6+H7-H8-H9)</f>
        <v/>
      </c>
      <c r="I10" s="256">
        <f>SUM(I3+I4+I5+I6+I7-I8-I9)</f>
        <v/>
      </c>
      <c r="J10" s="256">
        <f>SUM(J3+J4+J5+J6+J7-J8-J9)</f>
        <v/>
      </c>
      <c r="K10" s="256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2">
        <f>Daily!AG14</f>
        <v/>
      </c>
      <c r="D15" s="252">
        <f>Daily!AH14</f>
        <v/>
      </c>
      <c r="E15" s="252">
        <f>Daily!AI14</f>
        <v/>
      </c>
      <c r="F15" s="252">
        <f>Daily!AJ14</f>
        <v/>
      </c>
      <c r="G15" s="252">
        <f>Daily!AK14</f>
        <v/>
      </c>
      <c r="H15" s="252">
        <f>Daily!AL14</f>
        <v/>
      </c>
      <c r="I15" s="252">
        <f>Daily!AM14</f>
        <v/>
      </c>
      <c r="J15" s="252">
        <f>Daily!AN14</f>
        <v/>
      </c>
      <c r="K15" s="252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3">
        <f>Daily!X15</f>
        <v/>
      </c>
      <c r="D18" s="253">
        <f>Daily!Y15</f>
        <v/>
      </c>
      <c r="E18" s="253">
        <f>Daily!Z15</f>
        <v/>
      </c>
      <c r="F18" s="253">
        <f>Daily!AA15</f>
        <v/>
      </c>
      <c r="G18" s="253">
        <f>Daily!AB15</f>
        <v/>
      </c>
      <c r="H18" s="253">
        <f>Daily!AC15</f>
        <v/>
      </c>
      <c r="I18" s="253">
        <f>Daily!AD15</f>
        <v/>
      </c>
      <c r="J18" s="253">
        <f>Daily!AE15</f>
        <v/>
      </c>
      <c r="K18" s="253">
        <f>Daily!AF15</f>
        <v/>
      </c>
    </row>
    <row r="19" ht="15.6" customHeight="1" thickBot="1">
      <c r="B19" s="112" t="inlineStr">
        <is>
          <t>Booking(This week)</t>
        </is>
      </c>
      <c r="C19" s="254">
        <f>Daily!X41</f>
        <v/>
      </c>
      <c r="D19" s="254">
        <f>Daily!Y41</f>
        <v/>
      </c>
      <c r="E19" s="254">
        <f>Daily!Z41</f>
        <v/>
      </c>
      <c r="F19" s="254">
        <f>Daily!AA41</f>
        <v/>
      </c>
      <c r="G19" s="254">
        <f>Daily!AB41</f>
        <v/>
      </c>
      <c r="H19" s="254">
        <f>Daily!AC41</f>
        <v/>
      </c>
      <c r="I19" s="257">
        <f>Daily!AD41</f>
        <v/>
      </c>
      <c r="J19" s="257">
        <f>Daily!AE41</f>
        <v/>
      </c>
      <c r="K19" s="254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4">
        <f>Daily!X55</f>
        <v/>
      </c>
      <c r="D20" s="254">
        <f>Daily!Y55</f>
        <v/>
      </c>
      <c r="E20" s="254">
        <f>Daily!Z55</f>
        <v/>
      </c>
      <c r="F20" s="254">
        <f>Daily!AA55</f>
        <v/>
      </c>
      <c r="G20" s="254">
        <f>Daily!AB55</f>
        <v/>
      </c>
      <c r="H20" s="254">
        <f>Daily!AC55</f>
        <v/>
      </c>
      <c r="I20" s="254">
        <f>Daily!AD55</f>
        <v/>
      </c>
      <c r="J20" s="254">
        <f>Daily!AE55</f>
        <v/>
      </c>
      <c r="K20" s="254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5">
        <f>SUM(C14+C15+C16+C17+C18-C19-C20)</f>
        <v/>
      </c>
      <c r="D21" s="255">
        <f>SUM(D14+D15+D16+D17+D18-D19-D20)</f>
        <v/>
      </c>
      <c r="E21" s="255">
        <f>SUM(E14+E15+E16+E17+E18-E19-E20)</f>
        <v/>
      </c>
      <c r="F21" s="255">
        <f>SUM(F14+F15+F16+F17+F18-F19-F20)</f>
        <v/>
      </c>
      <c r="G21" s="255">
        <f>SUM(G14+G15+G16+G17+G18-G19-G20)</f>
        <v/>
      </c>
      <c r="H21" s="256">
        <f>SUM(H14+H15+H16+H17+H18-H19-H20)</f>
        <v/>
      </c>
      <c r="I21" s="255">
        <f>SUM(I14+I15+I16+I17+I18-I19-I20)</f>
        <v/>
      </c>
      <c r="J21" s="255">
        <f>SUM(J14+J15+J16+J17+J18-J19-J20)</f>
        <v/>
      </c>
      <c r="K21" s="256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2026-10-08T01:13:46Z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