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46304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170</v>
      </c>
      <c r="D4" s="207" t="n"/>
      <c r="E4" s="207" t="n">
        <v>131</v>
      </c>
      <c r="F4" s="207" t="n">
        <v>6</v>
      </c>
      <c r="G4" s="207" t="n">
        <v>5</v>
      </c>
      <c r="H4" s="207" t="n"/>
      <c r="I4" s="207" t="n"/>
      <c r="J4" s="207" t="n"/>
      <c r="K4" s="208" t="n"/>
      <c r="L4" s="209" t="n">
        <v>20</v>
      </c>
      <c r="M4" s="210" t="n"/>
      <c r="N4" s="210" t="n">
        <v>38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37</v>
      </c>
      <c r="Y4" s="207" t="n"/>
      <c r="Z4" s="207" t="n">
        <v>41</v>
      </c>
      <c r="AA4" s="207" t="n"/>
      <c r="AB4" s="207" t="n">
        <v>1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25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12</v>
      </c>
      <c r="D5" s="215" t="n"/>
      <c r="E5" s="215" t="n">
        <v>8</v>
      </c>
      <c r="F5" s="215" t="n"/>
      <c r="G5" s="215" t="n"/>
      <c r="H5" s="215" t="n"/>
      <c r="I5" s="215" t="n"/>
      <c r="J5" s="215" t="n"/>
      <c r="K5" s="216" t="n"/>
      <c r="L5" s="217" t="n">
        <v>52</v>
      </c>
      <c r="M5" s="215" t="n"/>
      <c r="N5" s="215" t="n">
        <v>8</v>
      </c>
      <c r="O5" s="215" t="n">
        <v>6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15</v>
      </c>
      <c r="Y5" s="215" t="n"/>
      <c r="Z5" s="215" t="n">
        <v>51</v>
      </c>
      <c r="AA5" s="215" t="n">
        <v>1</v>
      </c>
      <c r="AB5" s="215" t="n">
        <v>2</v>
      </c>
      <c r="AC5" s="215" t="n"/>
      <c r="AD5" s="215" t="n"/>
      <c r="AE5" s="215" t="n"/>
      <c r="AF5" s="216" t="n"/>
      <c r="AG5" s="217" t="n">
        <v>87</v>
      </c>
      <c r="AH5" s="215" t="n"/>
      <c r="AI5" s="215" t="n">
        <v>1</v>
      </c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7</v>
      </c>
      <c r="D6" s="215" t="n"/>
      <c r="E6" s="215" t="n">
        <v>14</v>
      </c>
      <c r="F6" s="215" t="n"/>
      <c r="G6" s="215" t="n">
        <v>1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2</v>
      </c>
      <c r="Y6" s="215" t="n"/>
      <c r="Z6" s="215" t="n">
        <v>2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38</v>
      </c>
      <c r="Y7" s="215" t="n"/>
      <c r="Z7" s="215" t="n">
        <v>54</v>
      </c>
      <c r="AA7" s="215" t="n"/>
      <c r="AB7" s="215" t="n"/>
      <c r="AC7" s="215" t="n"/>
      <c r="AD7" s="215" t="n"/>
      <c r="AE7" s="215" t="n"/>
      <c r="AF7" s="216" t="n"/>
      <c r="AG7" s="217" t="n">
        <v>66</v>
      </c>
      <c r="AH7" s="215" t="n"/>
      <c r="AI7" s="215" t="n">
        <v>2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702</v>
      </c>
      <c r="M8" s="223" t="n"/>
      <c r="N8" s="223" t="n">
        <v>846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889</v>
      </c>
      <c r="AH8" s="223" t="n"/>
      <c r="AI8" s="223" t="n">
        <v>289</v>
      </c>
      <c r="AJ8" s="223" t="n">
        <v>7</v>
      </c>
      <c r="AK8" s="223" t="n">
        <v>53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817</v>
      </c>
      <c r="M9" s="223" t="n">
        <v>5</v>
      </c>
      <c r="N9" s="223" t="n">
        <v>462</v>
      </c>
      <c r="O9" s="223" t="n">
        <v>34</v>
      </c>
      <c r="P9" s="223" t="n">
        <v>38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22</v>
      </c>
      <c r="AH9" s="223" t="n"/>
      <c r="AI9" s="223" t="n">
        <v>22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1075</v>
      </c>
      <c r="AH10" s="223" t="n">
        <v>2</v>
      </c>
      <c r="AI10" s="223" t="n">
        <v>815</v>
      </c>
      <c r="AJ10" s="223" t="n"/>
      <c r="AK10" s="223" t="n"/>
      <c r="AL10" s="223" t="n">
        <v>1</v>
      </c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>
        <v>211</v>
      </c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70</v>
      </c>
      <c r="AH14" s="51" t="n"/>
      <c r="AI14" s="51" t="n">
        <v>48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09-18/10/2026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09-18/10/2026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21</v>
      </c>
      <c r="D31" s="207" t="n"/>
      <c r="E31" s="207" t="n">
        <v>41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32" t="n"/>
      <c r="AH31" s="226" t="n"/>
      <c r="AI31" s="226" t="n"/>
      <c r="AJ31" s="226" t="n"/>
      <c r="AK31" s="226" t="n"/>
      <c r="AL31" s="226" t="n"/>
      <c r="AM31" s="226" t="n"/>
      <c r="AN31" s="226" t="n"/>
      <c r="AO31" s="228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11</v>
      </c>
      <c r="D32" s="215" t="n"/>
      <c r="E32" s="215" t="n">
        <v>2</v>
      </c>
      <c r="F32" s="215" t="n"/>
      <c r="G32" s="215" t="n"/>
      <c r="H32" s="215" t="n"/>
      <c r="I32" s="215" t="n"/>
      <c r="J32" s="215" t="n"/>
      <c r="K32" s="216" t="n"/>
      <c r="L32" s="233">
        <f>SUM(L5-C32)</f>
        <v/>
      </c>
      <c r="M32" s="234">
        <f>SUM(M5-D32)</f>
        <v/>
      </c>
      <c r="N32" s="234">
        <f>SUM(N5-E32)</f>
        <v/>
      </c>
      <c r="O32" s="234">
        <f>SUM(O5-F32)</f>
        <v/>
      </c>
      <c r="P32" s="234">
        <f>SUM(P5-G32)</f>
        <v/>
      </c>
      <c r="Q32" s="234">
        <f>SUM(Q5-H32)</f>
        <v/>
      </c>
      <c r="R32" s="234">
        <f>SUM(R5-I32)</f>
        <v/>
      </c>
      <c r="S32" s="234">
        <f>SUM(S5-J32)</f>
        <v/>
      </c>
      <c r="T32" s="235">
        <f>SUM(T5-K32)</f>
        <v/>
      </c>
      <c r="V32" s="23" t="inlineStr">
        <is>
          <t>ESCO</t>
        </is>
      </c>
      <c r="W32" s="24" t="inlineStr">
        <is>
          <t>TERMINAL</t>
        </is>
      </c>
      <c r="X32" s="236" t="n"/>
      <c r="Y32" s="237" t="n"/>
      <c r="Z32" s="237" t="n"/>
      <c r="AA32" s="237" t="n"/>
      <c r="AB32" s="237" t="n"/>
      <c r="AC32" s="237" t="n"/>
      <c r="AD32" s="237" t="n"/>
      <c r="AE32" s="237" t="n"/>
      <c r="AF32" s="238" t="n"/>
      <c r="AG32" s="233" t="n"/>
      <c r="AH32" s="234" t="n"/>
      <c r="AI32" s="234" t="n"/>
      <c r="AJ32" s="234" t="n"/>
      <c r="AK32" s="234" t="n"/>
      <c r="AL32" s="234" t="n"/>
      <c r="AM32" s="234" t="n"/>
      <c r="AN32" s="234" t="n"/>
      <c r="AO32" s="235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1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9">
        <f>SUM(L6-C33)</f>
        <v/>
      </c>
      <c r="M33" s="234">
        <f>SUM(M6-D33)</f>
        <v/>
      </c>
      <c r="N33" s="234">
        <f>SUM(N6-E33)</f>
        <v/>
      </c>
      <c r="O33" s="234">
        <f>SUM(O6-F33)</f>
        <v/>
      </c>
      <c r="P33" s="234">
        <f>SUM(P6-G33)</f>
        <v/>
      </c>
      <c r="Q33" s="234">
        <f>SUM(Q6-H33)</f>
        <v/>
      </c>
      <c r="R33" s="234">
        <f>SUM(R6-I33)</f>
        <v/>
      </c>
      <c r="S33" s="234">
        <f>SUM(S6-J33)</f>
        <v/>
      </c>
      <c r="T33" s="235">
        <f>SUM(T6-K33)</f>
        <v/>
      </c>
      <c r="V33" s="23" t="inlineStr">
        <is>
          <t>LCIT</t>
        </is>
      </c>
      <c r="W33" s="24" t="inlineStr">
        <is>
          <t>TERMINAL</t>
        </is>
      </c>
      <c r="X33" s="236" t="n"/>
      <c r="Y33" s="237" t="n"/>
      <c r="Z33" s="237" t="n"/>
      <c r="AA33" s="237" t="n"/>
      <c r="AB33" s="237" t="n"/>
      <c r="AC33" s="237" t="n"/>
      <c r="AD33" s="237" t="n"/>
      <c r="AE33" s="237" t="n"/>
      <c r="AF33" s="238" t="n"/>
      <c r="AG33" s="233" t="n"/>
      <c r="AH33" s="234" t="n"/>
      <c r="AI33" s="234" t="n"/>
      <c r="AJ33" s="234" t="n"/>
      <c r="AK33" s="234" t="n"/>
      <c r="AL33" s="234" t="n"/>
      <c r="AM33" s="234" t="n"/>
      <c r="AN33" s="234" t="n"/>
      <c r="AO33" s="235" t="n"/>
    </row>
    <row r="34" ht="15" customHeight="1">
      <c r="A34" s="136" t="inlineStr">
        <is>
          <t>BMTP</t>
        </is>
      </c>
      <c r="B34" s="137" t="inlineStr">
        <is>
          <t>ICD</t>
        </is>
      </c>
      <c r="C34" s="236" t="n"/>
      <c r="D34" s="237" t="n"/>
      <c r="E34" s="237" t="n"/>
      <c r="F34" s="237" t="n"/>
      <c r="G34" s="237" t="n"/>
      <c r="H34" s="237" t="n"/>
      <c r="I34" s="237" t="n"/>
      <c r="J34" s="237" t="n"/>
      <c r="K34" s="238" t="n"/>
      <c r="L34" s="233">
        <f>SUM(L7-C34)</f>
        <v/>
      </c>
      <c r="M34" s="234">
        <f>SUM(M7-D34)</f>
        <v/>
      </c>
      <c r="N34" s="234">
        <f>SUM(N7-E34)</f>
        <v/>
      </c>
      <c r="O34" s="234">
        <f>SUM(O7-F34)</f>
        <v/>
      </c>
      <c r="P34" s="234">
        <f>SUM(P7-G34)</f>
        <v/>
      </c>
      <c r="Q34" s="234">
        <f>SUM(Q7-H34)</f>
        <v/>
      </c>
      <c r="R34" s="234">
        <f>SUM(R7-I34)</f>
        <v/>
      </c>
      <c r="S34" s="234">
        <f>SUM(S7-J34)</f>
        <v/>
      </c>
      <c r="T34" s="235">
        <f>SUM(T7-K34)</f>
        <v/>
      </c>
      <c r="V34" s="23" t="inlineStr">
        <is>
          <t>HPT</t>
        </is>
      </c>
      <c r="W34" s="24" t="inlineStr">
        <is>
          <t>TERMINAL</t>
        </is>
      </c>
      <c r="X34" s="236" t="n"/>
      <c r="Y34" s="237" t="n"/>
      <c r="Z34" s="237" t="n"/>
      <c r="AA34" s="237" t="n"/>
      <c r="AB34" s="237" t="n"/>
      <c r="AC34" s="237" t="n"/>
      <c r="AD34" s="237" t="n"/>
      <c r="AE34" s="237" t="n"/>
      <c r="AF34" s="238" t="n"/>
      <c r="AG34" s="233" t="n"/>
      <c r="AH34" s="234" t="n"/>
      <c r="AI34" s="234" t="n"/>
      <c r="AJ34" s="234" t="n"/>
      <c r="AK34" s="234" t="n"/>
      <c r="AL34" s="234" t="n"/>
      <c r="AM34" s="234" t="n"/>
      <c r="AN34" s="234" t="n"/>
      <c r="AO34" s="235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40" t="n">
        <v>114</v>
      </c>
      <c r="D35" s="223" t="n"/>
      <c r="E35" s="223" t="n">
        <v>29</v>
      </c>
      <c r="F35" s="223" t="n"/>
      <c r="G35" s="223" t="n"/>
      <c r="H35" s="223" t="n"/>
      <c r="I35" s="223" t="n"/>
      <c r="J35" s="223" t="n"/>
      <c r="K35" s="241" t="n"/>
      <c r="L35" s="242">
        <f>SUM(L8-C35)</f>
        <v/>
      </c>
      <c r="M35" s="243">
        <f>SUM(M8-D35)</f>
        <v/>
      </c>
      <c r="N35" s="243">
        <f>SUM(N8-E35)</f>
        <v/>
      </c>
      <c r="O35" s="243">
        <f>SUM(O8-F35)</f>
        <v/>
      </c>
      <c r="P35" s="243">
        <f>SUM(P8-G35)</f>
        <v/>
      </c>
      <c r="Q35" s="243">
        <f>SUM(Q8-H35)</f>
        <v/>
      </c>
      <c r="R35" s="243">
        <f>SUM(R8-I35)</f>
        <v/>
      </c>
      <c r="S35" s="243">
        <f>SUM(S8-J35)</f>
        <v/>
      </c>
      <c r="T35" s="244">
        <f>SUM(T8-K35)</f>
        <v/>
      </c>
      <c r="V35" s="35" t="inlineStr">
        <is>
          <t>HAST</t>
        </is>
      </c>
      <c r="W35" s="36" t="inlineStr">
        <is>
          <t>DEPOT</t>
        </is>
      </c>
      <c r="X35" s="240" t="n">
        <v>117</v>
      </c>
      <c r="Y35" s="223" t="n"/>
      <c r="Z35" s="223" t="n">
        <v>90</v>
      </c>
      <c r="AA35" s="223" t="n">
        <v>1</v>
      </c>
      <c r="AB35" s="223" t="n">
        <v>48</v>
      </c>
      <c r="AC35" s="223" t="n"/>
      <c r="AD35" s="223" t="n"/>
      <c r="AE35" s="223" t="n"/>
      <c r="AF35" s="241" t="n"/>
      <c r="AG35" s="242">
        <f>SUM(AG8-X35)</f>
        <v/>
      </c>
      <c r="AH35" s="243">
        <f>SUM(AH8-Y35)</f>
        <v/>
      </c>
      <c r="AI35" s="243">
        <f>SUM(AI8-Z35)</f>
        <v/>
      </c>
      <c r="AJ35" s="243">
        <f>SUM(AJ8-AA35)</f>
        <v/>
      </c>
      <c r="AK35" s="243">
        <f>SUM(AK8-AB35)</f>
        <v/>
      </c>
      <c r="AL35" s="243">
        <f>SUM(AL8-AC35)</f>
        <v/>
      </c>
      <c r="AM35" s="243">
        <f>SUM(AM8-AD35)</f>
        <v/>
      </c>
      <c r="AN35" s="243">
        <f>SUM(AN8-AE35)</f>
        <v/>
      </c>
      <c r="AO35" s="244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40" t="n">
        <v>299</v>
      </c>
      <c r="D36" s="223" t="n"/>
      <c r="E36" s="223" t="n">
        <v>279</v>
      </c>
      <c r="F36" s="223" t="n">
        <v>5</v>
      </c>
      <c r="G36" s="223" t="n">
        <v>26</v>
      </c>
      <c r="H36" s="223" t="n"/>
      <c r="I36" s="223" t="n"/>
      <c r="J36" s="223" t="n"/>
      <c r="K36" s="241" t="n"/>
      <c r="L36" s="242">
        <f>SUM(L9-C36)</f>
        <v/>
      </c>
      <c r="M36" s="243">
        <f>SUM(M9-D36)</f>
        <v/>
      </c>
      <c r="N36" s="243">
        <f>SUM(N9-E36)</f>
        <v/>
      </c>
      <c r="O36" s="243">
        <f>SUM(O9-F36)</f>
        <v/>
      </c>
      <c r="P36" s="243">
        <f>SUM(P9-G36)</f>
        <v/>
      </c>
      <c r="Q36" s="243">
        <f>SUM(Q9-H36)</f>
        <v/>
      </c>
      <c r="R36" s="243">
        <f>SUM(R9-I36)</f>
        <v/>
      </c>
      <c r="S36" s="243">
        <f>SUM(S9-J36)</f>
        <v/>
      </c>
      <c r="T36" s="244">
        <f>SUM(T9-K36)</f>
        <v/>
      </c>
      <c r="V36" s="35" t="inlineStr">
        <is>
          <t>CELLO</t>
        </is>
      </c>
      <c r="W36" s="36" t="inlineStr">
        <is>
          <t>DEPOT</t>
        </is>
      </c>
      <c r="X36" s="240" t="n">
        <v>5</v>
      </c>
      <c r="Y36" s="223" t="n"/>
      <c r="Z36" s="223" t="n">
        <v>6</v>
      </c>
      <c r="AA36" s="223" t="n"/>
      <c r="AB36" s="223" t="n"/>
      <c r="AC36" s="223" t="n"/>
      <c r="AD36" s="223" t="n"/>
      <c r="AE36" s="223" t="n"/>
      <c r="AF36" s="241" t="n"/>
      <c r="AG36" s="242">
        <f>SUM(AG9-X36)</f>
        <v/>
      </c>
      <c r="AH36" s="243">
        <f>SUM(AH9-Y36)</f>
        <v/>
      </c>
      <c r="AI36" s="243">
        <f>SUM(AI9-Z36)</f>
        <v/>
      </c>
      <c r="AJ36" s="243">
        <f>SUM(AJ9-AA36)</f>
        <v/>
      </c>
      <c r="AK36" s="243">
        <f>SUM(AK9-AB36)</f>
        <v/>
      </c>
      <c r="AL36" s="243">
        <f>SUM(AL9-AC36)</f>
        <v/>
      </c>
      <c r="AM36" s="243">
        <f>SUM(AM9-AD36)</f>
        <v/>
      </c>
      <c r="AN36" s="243">
        <f>SUM(AN9-AE36)</f>
        <v/>
      </c>
      <c r="AO36" s="244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5">
        <f>SUM(L10-C37)</f>
        <v/>
      </c>
      <c r="M37" s="246">
        <f>SUM(M10-D37)</f>
        <v/>
      </c>
      <c r="N37" s="246">
        <f>SUM(N10-E37)</f>
        <v/>
      </c>
      <c r="O37" s="246">
        <f>SUM(O10-F37)</f>
        <v/>
      </c>
      <c r="P37" s="246">
        <f>SUM(P10-G37)</f>
        <v/>
      </c>
      <c r="Q37" s="246">
        <f>SUM(Q10-H37)</f>
        <v/>
      </c>
      <c r="R37" s="246">
        <f>SUM(R10-I37)</f>
        <v/>
      </c>
      <c r="S37" s="246">
        <f>SUM(S10-J37)</f>
        <v/>
      </c>
      <c r="T37" s="247">
        <f>SUM(T10-K37)</f>
        <v/>
      </c>
      <c r="V37" s="35" t="inlineStr">
        <is>
          <t>PW</t>
        </is>
      </c>
      <c r="W37" s="36" t="inlineStr">
        <is>
          <t>DEPOT</t>
        </is>
      </c>
      <c r="X37" s="240" t="n">
        <v>462</v>
      </c>
      <c r="Y37" s="223" t="n"/>
      <c r="Z37" s="223" t="n">
        <v>315</v>
      </c>
      <c r="AA37" s="223" t="n"/>
      <c r="AB37" s="223" t="n"/>
      <c r="AC37" s="223" t="n">
        <v>1</v>
      </c>
      <c r="AD37" s="223" t="n"/>
      <c r="AE37" s="223" t="n">
        <v>1</v>
      </c>
      <c r="AF37" s="241" t="n"/>
      <c r="AG37" s="242">
        <f>SUM(AG10-X37)</f>
        <v/>
      </c>
      <c r="AH37" s="243">
        <f>SUM(AH10-Y37)</f>
        <v/>
      </c>
      <c r="AI37" s="243">
        <f>SUM(AI10-Z37)</f>
        <v/>
      </c>
      <c r="AJ37" s="243">
        <f>SUM(AJ10-AA37)</f>
        <v/>
      </c>
      <c r="AK37" s="243">
        <f>SUM(AK10-AB37)</f>
        <v/>
      </c>
      <c r="AL37" s="243">
        <f>SUM(AL10-AC37)</f>
        <v/>
      </c>
      <c r="AM37" s="243">
        <f>SUM(AM10-AD37)</f>
        <v/>
      </c>
      <c r="AN37" s="243">
        <f>SUM(AN10-AE37)</f>
        <v/>
      </c>
      <c r="AO37" s="244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5">
        <f>SUM(L11-C38)</f>
        <v/>
      </c>
      <c r="M38" s="246">
        <f>SUM(M11-D38)</f>
        <v/>
      </c>
      <c r="N38" s="246">
        <f>SUM(N11-E38)</f>
        <v/>
      </c>
      <c r="O38" s="246">
        <f>SUM(O11-F38)</f>
        <v/>
      </c>
      <c r="P38" s="246">
        <f>SUM(P11-G38)</f>
        <v/>
      </c>
      <c r="Q38" s="246">
        <f>SUM(Q11-H38)</f>
        <v/>
      </c>
      <c r="R38" s="246">
        <f>SUM(R11-I38)</f>
        <v/>
      </c>
      <c r="S38" s="246">
        <f>SUM(S11-J38)</f>
        <v/>
      </c>
      <c r="T38" s="247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5">
        <f>SUM(AG11-X38)</f>
        <v/>
      </c>
      <c r="AH38" s="246">
        <f>SUM(AH11-Y38)</f>
        <v/>
      </c>
      <c r="AI38" s="246">
        <f>SUM(AI11-Z38)</f>
        <v/>
      </c>
      <c r="AJ38" s="246">
        <f>SUM(AJ11-AA38)</f>
        <v/>
      </c>
      <c r="AK38" s="246">
        <f>SUM(AK11-AB38)</f>
        <v/>
      </c>
      <c r="AL38" s="246">
        <f>SUM(AL11-AC38)</f>
        <v/>
      </c>
      <c r="AM38" s="246">
        <f>SUM(AM11-AD38)</f>
        <v/>
      </c>
      <c r="AN38" s="246">
        <f>SUM(AN11-AE38)</f>
        <v/>
      </c>
      <c r="AO38" s="247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5">
        <f>SUM(L12-C39)</f>
        <v/>
      </c>
      <c r="M39" s="246">
        <f>SUM(M12-D39)</f>
        <v/>
      </c>
      <c r="N39" s="246">
        <f>SUM(N12-E39)</f>
        <v/>
      </c>
      <c r="O39" s="246">
        <f>SUM(O12-F39)</f>
        <v/>
      </c>
      <c r="P39" s="246">
        <f>SUM(P12-G39)</f>
        <v/>
      </c>
      <c r="Q39" s="246">
        <f>SUM(Q12-H39)</f>
        <v/>
      </c>
      <c r="R39" s="246">
        <f>SUM(R12-I39)</f>
        <v/>
      </c>
      <c r="S39" s="246">
        <f>SUM(S12-J39)</f>
        <v/>
      </c>
      <c r="T39" s="247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5">
        <f>SUM(AG12-X39)</f>
        <v/>
      </c>
      <c r="AH39" s="246">
        <f>SUM(AH12-Y39)</f>
        <v/>
      </c>
      <c r="AI39" s="246">
        <f>SUM(AI12-Z39)</f>
        <v/>
      </c>
      <c r="AJ39" s="246">
        <f>SUM(AJ12-AA39)</f>
        <v/>
      </c>
      <c r="AK39" s="246">
        <f>SUM(AK12-AB39)</f>
        <v/>
      </c>
      <c r="AL39" s="246">
        <f>SUM(AL12-AC39)</f>
        <v/>
      </c>
      <c r="AM39" s="246">
        <f>SUM(AM12-AD39)</f>
        <v/>
      </c>
      <c r="AN39" s="246">
        <f>SUM(AN12-AE39)</f>
        <v/>
      </c>
      <c r="AO39" s="247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8">
        <f>SUM(L13-C40)</f>
        <v/>
      </c>
      <c r="M40" s="249">
        <f>SUM(M13-D40)</f>
        <v/>
      </c>
      <c r="N40" s="249">
        <f>SUM(N13-E40)</f>
        <v/>
      </c>
      <c r="O40" s="249">
        <f>SUM(O13-F40)</f>
        <v/>
      </c>
      <c r="P40" s="249">
        <f>SUM(P13-G40)</f>
        <v/>
      </c>
      <c r="Q40" s="249">
        <f>SUM(Q13-H40)</f>
        <v/>
      </c>
      <c r="R40" s="249">
        <f>SUM(R13-I40)</f>
        <v/>
      </c>
      <c r="S40" s="249">
        <f>SUM(S13-J40)</f>
        <v/>
      </c>
      <c r="T40" s="250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5">
        <f>SUM(AG13-X40)</f>
        <v/>
      </c>
      <c r="AH40" s="246">
        <f>SUM(AH13-Y40)</f>
        <v/>
      </c>
      <c r="AI40" s="246">
        <f>SUM(AI13-Z40)</f>
        <v/>
      </c>
      <c r="AJ40" s="246">
        <f>SUM(AJ13-AA40)</f>
        <v/>
      </c>
      <c r="AK40" s="246">
        <f>SUM(AK13-AB40)</f>
        <v/>
      </c>
      <c r="AL40" s="246">
        <f>SUM(AL13-AC40)</f>
        <v/>
      </c>
      <c r="AM40" s="246">
        <f>SUM(AM13-AD40)</f>
        <v/>
      </c>
      <c r="AN40" s="246">
        <f>SUM(AN13-AE40)</f>
        <v/>
      </c>
      <c r="AO40" s="247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19-25/10/2026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19-25/10/2026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36</v>
      </c>
      <c r="D45" s="207" t="n"/>
      <c r="E45" s="207" t="n">
        <v>34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32" t="n"/>
      <c r="AH45" s="226" t="n"/>
      <c r="AI45" s="226" t="n"/>
      <c r="AJ45" s="226" t="n"/>
      <c r="AK45" s="226" t="n"/>
      <c r="AL45" s="226" t="n"/>
      <c r="AM45" s="226" t="n"/>
      <c r="AN45" s="226" t="n"/>
      <c r="AO45" s="228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3">
        <f>SUM(L32-C46)</f>
        <v/>
      </c>
      <c r="M46" s="234">
        <f>SUM(M32-D46)</f>
        <v/>
      </c>
      <c r="N46" s="234">
        <f>SUM(N32-E46)</f>
        <v/>
      </c>
      <c r="O46" s="234">
        <f>SUM(O32-F46)</f>
        <v/>
      </c>
      <c r="P46" s="234">
        <f>SUM(P32-G46)</f>
        <v/>
      </c>
      <c r="Q46" s="234">
        <f>SUM(Q32-H46)</f>
        <v/>
      </c>
      <c r="R46" s="234">
        <f>SUM(R32-I46)</f>
        <v/>
      </c>
      <c r="S46" s="234">
        <f>SUM(S32-J46)</f>
        <v/>
      </c>
      <c r="T46" s="235">
        <f>SUM(T32-K46)</f>
        <v/>
      </c>
      <c r="V46" s="23" t="inlineStr">
        <is>
          <t>ESCO</t>
        </is>
      </c>
      <c r="W46" s="24" t="inlineStr">
        <is>
          <t>TERMINAL</t>
        </is>
      </c>
      <c r="X46" s="236" t="n"/>
      <c r="Y46" s="237" t="n"/>
      <c r="Z46" s="237" t="n"/>
      <c r="AA46" s="237" t="n"/>
      <c r="AB46" s="237" t="n"/>
      <c r="AC46" s="237" t="n"/>
      <c r="AD46" s="237" t="n"/>
      <c r="AE46" s="237" t="n"/>
      <c r="AF46" s="238" t="n"/>
      <c r="AG46" s="233" t="n"/>
      <c r="AH46" s="234" t="n"/>
      <c r="AI46" s="234" t="n"/>
      <c r="AJ46" s="234" t="n"/>
      <c r="AK46" s="234" t="n"/>
      <c r="AL46" s="234" t="n"/>
      <c r="AM46" s="234" t="n"/>
      <c r="AN46" s="234" t="n"/>
      <c r="AO46" s="235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9">
        <f>SUM(L33-C47)</f>
        <v/>
      </c>
      <c r="M47" s="234">
        <f>SUM(M33-D47)</f>
        <v/>
      </c>
      <c r="N47" s="234">
        <f>SUM(N33-E47)</f>
        <v/>
      </c>
      <c r="O47" s="234">
        <f>SUM(O33-F47)</f>
        <v/>
      </c>
      <c r="P47" s="234">
        <f>SUM(P33-G47)</f>
        <v/>
      </c>
      <c r="Q47" s="234">
        <f>SUM(Q33-H47)</f>
        <v/>
      </c>
      <c r="R47" s="234">
        <f>SUM(R33-I47)</f>
        <v/>
      </c>
      <c r="S47" s="234">
        <f>SUM(S33-J47)</f>
        <v/>
      </c>
      <c r="T47" s="235">
        <f>SUM(T33-K47)</f>
        <v/>
      </c>
      <c r="V47" s="23" t="inlineStr">
        <is>
          <t>LCIT</t>
        </is>
      </c>
      <c r="W47" s="24" t="inlineStr">
        <is>
          <t>TERMINAL</t>
        </is>
      </c>
      <c r="X47" s="236" t="n"/>
      <c r="Y47" s="237" t="n"/>
      <c r="Z47" s="237" t="n"/>
      <c r="AA47" s="237" t="n"/>
      <c r="AB47" s="237" t="n"/>
      <c r="AC47" s="237" t="n"/>
      <c r="AD47" s="237" t="n"/>
      <c r="AE47" s="237" t="n"/>
      <c r="AF47" s="238" t="n"/>
      <c r="AG47" s="233" t="n"/>
      <c r="AH47" s="234" t="n"/>
      <c r="AI47" s="234" t="n"/>
      <c r="AJ47" s="234" t="n"/>
      <c r="AK47" s="234" t="n"/>
      <c r="AL47" s="234" t="n"/>
      <c r="AM47" s="234" t="n"/>
      <c r="AN47" s="234" t="n"/>
      <c r="AO47" s="235" t="n"/>
    </row>
    <row r="48" ht="15" customHeight="1">
      <c r="A48" s="136" t="inlineStr">
        <is>
          <t>BMTP</t>
        </is>
      </c>
      <c r="B48" s="137" t="inlineStr">
        <is>
          <t>ICD</t>
        </is>
      </c>
      <c r="C48" s="236" t="n"/>
      <c r="D48" s="237" t="n"/>
      <c r="E48" s="237" t="n"/>
      <c r="F48" s="237" t="n"/>
      <c r="G48" s="237" t="n"/>
      <c r="H48" s="237" t="n"/>
      <c r="I48" s="237" t="n"/>
      <c r="J48" s="237" t="n"/>
      <c r="K48" s="238" t="n"/>
      <c r="L48" s="233">
        <f>SUM(L34-C48)</f>
        <v/>
      </c>
      <c r="M48" s="234">
        <f>SUM(M34-D48)</f>
        <v/>
      </c>
      <c r="N48" s="234">
        <f>SUM(N34-E48)</f>
        <v/>
      </c>
      <c r="O48" s="234">
        <f>SUM(O34-F48)</f>
        <v/>
      </c>
      <c r="P48" s="234">
        <f>SUM(P34-G48)</f>
        <v/>
      </c>
      <c r="Q48" s="234">
        <f>SUM(Q34-H48)</f>
        <v/>
      </c>
      <c r="R48" s="234">
        <f>SUM(R34-I48)</f>
        <v/>
      </c>
      <c r="S48" s="234">
        <f>SUM(S34-J48)</f>
        <v/>
      </c>
      <c r="T48" s="235">
        <f>SUM(T34-K48)</f>
        <v/>
      </c>
      <c r="V48" s="23" t="inlineStr">
        <is>
          <t>HPT</t>
        </is>
      </c>
      <c r="W48" s="24" t="inlineStr">
        <is>
          <t>TERMINAL</t>
        </is>
      </c>
      <c r="X48" s="236" t="n"/>
      <c r="Y48" s="237" t="n"/>
      <c r="Z48" s="237" t="n"/>
      <c r="AA48" s="237" t="n"/>
      <c r="AB48" s="237" t="n"/>
      <c r="AC48" s="237" t="n"/>
      <c r="AD48" s="237" t="n"/>
      <c r="AE48" s="237" t="n"/>
      <c r="AF48" s="238" t="n"/>
      <c r="AG48" s="233" t="n"/>
      <c r="AH48" s="234" t="n"/>
      <c r="AI48" s="234" t="n"/>
      <c r="AJ48" s="234" t="n"/>
      <c r="AK48" s="234" t="n"/>
      <c r="AL48" s="234" t="n"/>
      <c r="AM48" s="234" t="n"/>
      <c r="AN48" s="234" t="n"/>
      <c r="AO48" s="235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40" t="n">
        <v>23</v>
      </c>
      <c r="D49" s="223" t="n"/>
      <c r="E49" s="223" t="n">
        <v>13</v>
      </c>
      <c r="F49" s="223" t="n"/>
      <c r="G49" s="223" t="n"/>
      <c r="H49" s="223" t="n"/>
      <c r="I49" s="223" t="n"/>
      <c r="J49" s="223" t="n"/>
      <c r="K49" s="241" t="n"/>
      <c r="L49" s="242">
        <f>SUM(L35-C49)</f>
        <v/>
      </c>
      <c r="M49" s="243">
        <f>SUM(M35-D49)</f>
        <v/>
      </c>
      <c r="N49" s="243">
        <f>SUM(N35-E49)</f>
        <v/>
      </c>
      <c r="O49" s="243">
        <f>SUM(O35-F49)</f>
        <v/>
      </c>
      <c r="P49" s="243">
        <f>SUM(P35-G49)</f>
        <v/>
      </c>
      <c r="Q49" s="243">
        <f>SUM(Q35-H49)</f>
        <v/>
      </c>
      <c r="R49" s="243">
        <f>SUM(R35-I49)</f>
        <v/>
      </c>
      <c r="S49" s="243">
        <f>SUM(S35-J49)</f>
        <v/>
      </c>
      <c r="T49" s="244">
        <f>SUM(T35-K49)</f>
        <v/>
      </c>
      <c r="V49" s="35" t="inlineStr">
        <is>
          <t>HAST</t>
        </is>
      </c>
      <c r="W49" s="36" t="inlineStr">
        <is>
          <t>DEPOT</t>
        </is>
      </c>
      <c r="X49" s="240" t="n">
        <v>85</v>
      </c>
      <c r="Y49" s="223" t="n"/>
      <c r="Z49" s="223" t="n">
        <v>14</v>
      </c>
      <c r="AA49" s="223" t="n">
        <v>1</v>
      </c>
      <c r="AB49" s="223" t="n">
        <v>15</v>
      </c>
      <c r="AC49" s="223" t="n"/>
      <c r="AD49" s="223" t="n"/>
      <c r="AE49" s="223" t="n"/>
      <c r="AF49" s="241" t="n"/>
      <c r="AG49" s="242">
        <f>SUM(AG35-X49)</f>
        <v/>
      </c>
      <c r="AH49" s="243">
        <f>SUM(AH35-Y49)</f>
        <v/>
      </c>
      <c r="AI49" s="243">
        <f>SUM(AI35-Z49)</f>
        <v/>
      </c>
      <c r="AJ49" s="243">
        <f>SUM(AJ35-AA49)</f>
        <v/>
      </c>
      <c r="AK49" s="251">
        <f>SUM(AK35-AB49)</f>
        <v/>
      </c>
      <c r="AL49" s="243">
        <f>SUM(AL35-AC49)</f>
        <v/>
      </c>
      <c r="AM49" s="243">
        <f>SUM(AM35-AD49)</f>
        <v/>
      </c>
      <c r="AN49" s="243">
        <f>SUM(AN35-AE49)</f>
        <v/>
      </c>
      <c r="AO49" s="244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40" t="n">
        <v>207</v>
      </c>
      <c r="D50" s="223" t="n">
        <v>1</v>
      </c>
      <c r="E50" s="223" t="n">
        <v>123</v>
      </c>
      <c r="F50" s="223" t="n">
        <v>3</v>
      </c>
      <c r="G50" s="223" t="n">
        <v>28</v>
      </c>
      <c r="H50" s="223" t="n"/>
      <c r="I50" s="223" t="n"/>
      <c r="J50" s="223" t="n"/>
      <c r="K50" s="241" t="n"/>
      <c r="L50" s="242">
        <f>SUM(L36-C50)</f>
        <v/>
      </c>
      <c r="M50" s="243">
        <f>SUM(M36-D50)</f>
        <v/>
      </c>
      <c r="N50" s="243">
        <f>SUM(N36-E50)</f>
        <v/>
      </c>
      <c r="O50" s="243">
        <f>SUM(O36-F50)</f>
        <v/>
      </c>
      <c r="P50" s="251">
        <f>SUM(P36-G50)</f>
        <v/>
      </c>
      <c r="Q50" s="243">
        <f>SUM(Q36-H50)</f>
        <v/>
      </c>
      <c r="R50" s="243">
        <f>SUM(R36-I50)</f>
        <v/>
      </c>
      <c r="S50" s="243">
        <f>SUM(S36-J50)</f>
        <v/>
      </c>
      <c r="T50" s="244">
        <f>SUM(T36-K50)</f>
        <v/>
      </c>
      <c r="V50" s="35" t="inlineStr">
        <is>
          <t>CELLO</t>
        </is>
      </c>
      <c r="W50" s="36" t="inlineStr">
        <is>
          <t>DEPOT</t>
        </is>
      </c>
      <c r="X50" s="240" t="n"/>
      <c r="Y50" s="223" t="n"/>
      <c r="Z50" s="223" t="n">
        <v>1</v>
      </c>
      <c r="AA50" s="223" t="n"/>
      <c r="AB50" s="223" t="n"/>
      <c r="AC50" s="223" t="n"/>
      <c r="AD50" s="223" t="n"/>
      <c r="AE50" s="223" t="n"/>
      <c r="AF50" s="241" t="n"/>
      <c r="AG50" s="242">
        <f>SUM(AG36-X50)</f>
        <v/>
      </c>
      <c r="AH50" s="243">
        <f>SUM(AH36-Y50)</f>
        <v/>
      </c>
      <c r="AI50" s="243">
        <f>SUM(AI36-Z50)</f>
        <v/>
      </c>
      <c r="AJ50" s="243">
        <f>SUM(AJ36-AA50)</f>
        <v/>
      </c>
      <c r="AK50" s="243">
        <f>SUM(AK36-AB50)</f>
        <v/>
      </c>
      <c r="AL50" s="243">
        <f>SUM(AL36-AC50)</f>
        <v/>
      </c>
      <c r="AM50" s="243">
        <f>SUM(AM36-AD50)</f>
        <v/>
      </c>
      <c r="AN50" s="243">
        <f>SUM(AN36-AE50)</f>
        <v/>
      </c>
      <c r="AO50" s="244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5">
        <f>SUM(L37-C51)</f>
        <v/>
      </c>
      <c r="M51" s="246">
        <f>SUM(M37-D51)</f>
        <v/>
      </c>
      <c r="N51" s="246">
        <f>SUM(N37-E51)</f>
        <v/>
      </c>
      <c r="O51" s="246">
        <f>SUM(O37-F51)</f>
        <v/>
      </c>
      <c r="P51" s="246">
        <f>SUM(P37-G51)</f>
        <v/>
      </c>
      <c r="Q51" s="246">
        <f>SUM(Q37-H51)</f>
        <v/>
      </c>
      <c r="R51" s="246">
        <f>SUM(R37-I51)</f>
        <v/>
      </c>
      <c r="S51" s="246">
        <f>SUM(S37-J51)</f>
        <v/>
      </c>
      <c r="T51" s="247">
        <f>SUM(T37-K51)</f>
        <v/>
      </c>
      <c r="V51" s="35" t="inlineStr">
        <is>
          <t>PW</t>
        </is>
      </c>
      <c r="W51" s="36" t="inlineStr">
        <is>
          <t>DEPOT</t>
        </is>
      </c>
      <c r="X51" s="240" t="n">
        <v>152</v>
      </c>
      <c r="Y51" s="223" t="n"/>
      <c r="Z51" s="223" t="n">
        <v>110</v>
      </c>
      <c r="AA51" s="223" t="n"/>
      <c r="AB51" s="223" t="n"/>
      <c r="AC51" s="223" t="n"/>
      <c r="AD51" s="223" t="n"/>
      <c r="AE51" s="223" t="n"/>
      <c r="AF51" s="241" t="n"/>
      <c r="AG51" s="242">
        <f>SUM(AG37-X51)</f>
        <v/>
      </c>
      <c r="AH51" s="243">
        <f>SUM(AH37-Y51)</f>
        <v/>
      </c>
      <c r="AI51" s="243">
        <f>SUM(AI37-Z51)</f>
        <v/>
      </c>
      <c r="AJ51" s="243">
        <f>SUM(AJ37-AA51)</f>
        <v/>
      </c>
      <c r="AK51" s="243">
        <f>SUM(AK37-AB51)</f>
        <v/>
      </c>
      <c r="AL51" s="243">
        <f>SUM(AL37-AC51)</f>
        <v/>
      </c>
      <c r="AM51" s="243">
        <f>SUM(AM37-AD51)</f>
        <v/>
      </c>
      <c r="AN51" s="243">
        <f>SUM(AN37-AE51)</f>
        <v/>
      </c>
      <c r="AO51" s="244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5">
        <f>SUM(L38-C52)</f>
        <v/>
      </c>
      <c r="M52" s="246">
        <f>SUM(M38-D52)</f>
        <v/>
      </c>
      <c r="N52" s="246">
        <f>SUM(N38-E52)</f>
        <v/>
      </c>
      <c r="O52" s="246">
        <f>SUM(O38-F52)</f>
        <v/>
      </c>
      <c r="P52" s="246">
        <f>SUM(P38-G52)</f>
        <v/>
      </c>
      <c r="Q52" s="246">
        <f>SUM(Q38-H52)</f>
        <v/>
      </c>
      <c r="R52" s="246">
        <f>SUM(R38-I52)</f>
        <v/>
      </c>
      <c r="S52" s="246">
        <f>SUM(S38-J52)</f>
        <v/>
      </c>
      <c r="T52" s="247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5">
        <f>SUM(AG38-X52)</f>
        <v/>
      </c>
      <c r="AH52" s="246">
        <f>SUM(AH38-Y52)</f>
        <v/>
      </c>
      <c r="AI52" s="246">
        <f>SUM(AI38-Z52)</f>
        <v/>
      </c>
      <c r="AJ52" s="246">
        <f>SUM(AJ38-AA52)</f>
        <v/>
      </c>
      <c r="AK52" s="246">
        <f>SUM(AK38-AB52)</f>
        <v/>
      </c>
      <c r="AL52" s="246">
        <f>SUM(AL38-AC52)</f>
        <v/>
      </c>
      <c r="AM52" s="246">
        <f>SUM(AM38-AD52)</f>
        <v/>
      </c>
      <c r="AN52" s="246">
        <f>SUM(AN38-AE52)</f>
        <v/>
      </c>
      <c r="AO52" s="247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5">
        <f>SUM(L39-C53)</f>
        <v/>
      </c>
      <c r="M53" s="246">
        <f>SUM(M39-D53)</f>
        <v/>
      </c>
      <c r="N53" s="246">
        <f>SUM(N39-E53)</f>
        <v/>
      </c>
      <c r="O53" s="246">
        <f>SUM(O39-F53)</f>
        <v/>
      </c>
      <c r="P53" s="246">
        <f>SUM(P39-G53)</f>
        <v/>
      </c>
      <c r="Q53" s="246">
        <f>SUM(Q39-H53)</f>
        <v/>
      </c>
      <c r="R53" s="246">
        <f>SUM(R39-I53)</f>
        <v/>
      </c>
      <c r="S53" s="246">
        <f>SUM(S39-J53)</f>
        <v/>
      </c>
      <c r="T53" s="247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5">
        <f>SUM(AG39-X53)</f>
        <v/>
      </c>
      <c r="AH53" s="246">
        <f>SUM(AH39-Y53)</f>
        <v/>
      </c>
      <c r="AI53" s="246">
        <f>SUM(AI39-Z53)</f>
        <v/>
      </c>
      <c r="AJ53" s="246">
        <f>SUM(AJ39-AA53)</f>
        <v/>
      </c>
      <c r="AK53" s="246">
        <f>SUM(AK39-AB53)</f>
        <v/>
      </c>
      <c r="AL53" s="246">
        <f>SUM(AL39-AC53)</f>
        <v/>
      </c>
      <c r="AM53" s="246">
        <f>SUM(AM39-AD53)</f>
        <v/>
      </c>
      <c r="AN53" s="246">
        <f>SUM(AN39-AE53)</f>
        <v/>
      </c>
      <c r="AO53" s="247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8">
        <f>SUM(L40-C54)</f>
        <v/>
      </c>
      <c r="M54" s="249">
        <f>SUM(M40-D54)</f>
        <v/>
      </c>
      <c r="N54" s="249">
        <f>SUM(N40-E54)</f>
        <v/>
      </c>
      <c r="O54" s="249">
        <f>SUM(O40-F54)</f>
        <v/>
      </c>
      <c r="P54" s="249">
        <f>SUM(P40-G54)</f>
        <v/>
      </c>
      <c r="Q54" s="249">
        <f>SUM(Q40-H54)</f>
        <v/>
      </c>
      <c r="R54" s="249">
        <f>SUM(R40-I54)</f>
        <v/>
      </c>
      <c r="S54" s="249">
        <f>SUM(S40-J54)</f>
        <v/>
      </c>
      <c r="T54" s="250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5">
        <f>SUM(AG40-X54)</f>
        <v/>
      </c>
      <c r="AH54" s="246">
        <f>SUM(AH40-Y54)</f>
        <v/>
      </c>
      <c r="AI54" s="246">
        <f>SUM(AI40-Z54)</f>
        <v/>
      </c>
      <c r="AJ54" s="246">
        <f>SUM(AJ40-AA54)</f>
        <v/>
      </c>
      <c r="AK54" s="246">
        <f>SUM(AK40-AB54)</f>
        <v/>
      </c>
      <c r="AL54" s="246">
        <f>SUM(AL40-AC54)</f>
        <v/>
      </c>
      <c r="AM54" s="246">
        <f>SUM(AM40-AD54)</f>
        <v/>
      </c>
      <c r="AN54" s="246">
        <f>SUM(AN40-AE54)</f>
        <v/>
      </c>
      <c r="AO54" s="247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3</v>
      </c>
      <c r="C4" s="123" t="n"/>
      <c r="D4" s="123" t="n">
        <v>1</v>
      </c>
      <c r="E4" s="118" t="n"/>
      <c r="F4" s="122" t="n">
        <v>2025</v>
      </c>
      <c r="G4" s="123" t="n">
        <v>8</v>
      </c>
      <c r="H4" s="123" t="n"/>
      <c r="I4" s="123" t="n">
        <v>1</v>
      </c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5</v>
      </c>
      <c r="C6" s="125" t="n"/>
      <c r="D6" s="125" t="n"/>
      <c r="F6" s="124" t="n">
        <v>2021</v>
      </c>
      <c r="G6" s="125" t="n">
        <v>4</v>
      </c>
      <c r="H6" s="125" t="n"/>
      <c r="I6" s="125" t="n"/>
    </row>
    <row r="7" ht="16.15" customHeight="1">
      <c r="A7" s="124" t="n">
        <v>2020</v>
      </c>
      <c r="B7" s="125" t="n">
        <v>5</v>
      </c>
      <c r="C7" s="125" t="n"/>
      <c r="D7" s="125" t="n">
        <v>1</v>
      </c>
      <c r="F7" s="124" t="n">
        <v>2020</v>
      </c>
      <c r="G7" s="125" t="n">
        <v>9</v>
      </c>
      <c r="H7" s="125" t="n"/>
      <c r="I7" s="125" t="n">
        <v>1</v>
      </c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6">
        <f>SUM(G3+G4+G5+G6+G7-G8-G9)</f>
        <v/>
      </c>
      <c r="H10" s="256">
        <f>SUM(H3+H4+H5+H6+H7-H8-H9)</f>
        <v/>
      </c>
      <c r="I10" s="256">
        <f>SUM(I3+I4+I5+I6+I7-I8-I9)</f>
        <v/>
      </c>
      <c r="J10" s="256">
        <f>SUM(J3+J4+J5+J6+J7-J8-J9)</f>
        <v/>
      </c>
      <c r="K10" s="256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7">
        <f>Daily!AD41</f>
        <v/>
      </c>
      <c r="J19" s="257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6">
        <f>SUM(G14+G15+G16+G17+G18-G19-G20)</f>
        <v/>
      </c>
      <c r="H21" s="256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2026-10-09T01:25:41Z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