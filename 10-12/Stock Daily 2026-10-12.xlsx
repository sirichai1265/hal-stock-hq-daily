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8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46307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99</v>
      </c>
      <c r="D4" s="207" t="n"/>
      <c r="E4" s="207" t="n">
        <v>82</v>
      </c>
      <c r="F4" s="207" t="n">
        <v>4</v>
      </c>
      <c r="G4" s="207" t="n">
        <v>9</v>
      </c>
      <c r="H4" s="207" t="n"/>
      <c r="I4" s="207" t="n"/>
      <c r="J4" s="207" t="n"/>
      <c r="K4" s="208" t="n"/>
      <c r="L4" s="209" t="n">
        <v>58</v>
      </c>
      <c r="M4" s="210" t="n"/>
      <c r="N4" s="210" t="n">
        <v>41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60</v>
      </c>
      <c r="Y4" s="207" t="n"/>
      <c r="Z4" s="207" t="n">
        <v>138</v>
      </c>
      <c r="AA4" s="207" t="n"/>
      <c r="AB4" s="207" t="n">
        <v>1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25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37</v>
      </c>
      <c r="D5" s="215" t="n"/>
      <c r="E5" s="215" t="n">
        <v>41</v>
      </c>
      <c r="F5" s="215" t="n">
        <v>1</v>
      </c>
      <c r="G5" s="215" t="n">
        <v>4</v>
      </c>
      <c r="H5" s="215" t="n"/>
      <c r="I5" s="215" t="n"/>
      <c r="J5" s="215" t="n"/>
      <c r="K5" s="216" t="n"/>
      <c r="L5" s="217" t="n">
        <v>6</v>
      </c>
      <c r="M5" s="215" t="n"/>
      <c r="N5" s="215" t="n">
        <v>7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10</v>
      </c>
      <c r="Y5" s="215" t="n"/>
      <c r="Z5" s="215" t="n">
        <v>22</v>
      </c>
      <c r="AA5" s="215" t="n"/>
      <c r="AB5" s="215" t="n"/>
      <c r="AC5" s="215" t="n"/>
      <c r="AD5" s="215" t="n"/>
      <c r="AE5" s="215" t="n"/>
      <c r="AF5" s="216" t="n"/>
      <c r="AG5" s="217" t="n">
        <v>30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8</v>
      </c>
      <c r="D6" s="215" t="n"/>
      <c r="E6" s="215" t="n">
        <v>9</v>
      </c>
      <c r="F6" s="215" t="n"/>
      <c r="G6" s="215" t="n">
        <v>1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/>
      <c r="Y6" s="215" t="n"/>
      <c r="Z6" s="215" t="n">
        <v>2</v>
      </c>
      <c r="AA6" s="215" t="n"/>
      <c r="AB6" s="215" t="n"/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23" t="inlineStr">
        <is>
          <t>TIFFA</t>
        </is>
      </c>
      <c r="B7" s="24" t="inlineStr">
        <is>
          <t>ICD</t>
        </is>
      </c>
      <c r="C7" s="214" t="n">
        <v>5</v>
      </c>
      <c r="D7" s="215" t="n"/>
      <c r="E7" s="215" t="n">
        <v>1</v>
      </c>
      <c r="F7" s="215" t="n">
        <v>1</v>
      </c>
      <c r="G7" s="215" t="n">
        <v>1</v>
      </c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34</v>
      </c>
      <c r="Y7" s="215" t="n"/>
      <c r="Z7" s="215" t="n">
        <v>39</v>
      </c>
      <c r="AA7" s="215" t="n"/>
      <c r="AB7" s="215" t="n"/>
      <c r="AC7" s="215" t="n"/>
      <c r="AD7" s="215" t="n"/>
      <c r="AE7" s="215" t="n"/>
      <c r="AF7" s="216" t="n"/>
      <c r="AG7" s="217" t="n">
        <v>54</v>
      </c>
      <c r="AH7" s="215" t="n"/>
      <c r="AI7" s="215" t="n">
        <v>1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671</v>
      </c>
      <c r="M8" s="223" t="n"/>
      <c r="N8" s="223" t="n">
        <v>845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917</v>
      </c>
      <c r="AH8" s="223" t="n"/>
      <c r="AI8" s="223" t="n">
        <v>290</v>
      </c>
      <c r="AJ8" s="223" t="n">
        <v>12</v>
      </c>
      <c r="AK8" s="223" t="n">
        <v>62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882</v>
      </c>
      <c r="M9" s="223" t="n">
        <v>5</v>
      </c>
      <c r="N9" s="223" t="n">
        <v>467</v>
      </c>
      <c r="O9" s="223" t="n">
        <v>36</v>
      </c>
      <c r="P9" s="223" t="n">
        <v>28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21</v>
      </c>
      <c r="AH9" s="223" t="n"/>
      <c r="AI9" s="223" t="n">
        <v>25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136" t="inlineStr">
        <is>
          <t>BMTP</t>
        </is>
      </c>
      <c r="B10" s="137" t="inlineStr">
        <is>
          <t>ICD</t>
        </is>
      </c>
      <c r="C10" s="214" t="n">
        <v>3</v>
      </c>
      <c r="D10" s="215" t="n"/>
      <c r="E10" s="215" t="n">
        <v>1</v>
      </c>
      <c r="F10" s="215" t="n"/>
      <c r="G10" s="215" t="n"/>
      <c r="H10" s="215" t="n"/>
      <c r="I10" s="215" t="n"/>
      <c r="J10" s="215" t="n"/>
      <c r="K10" s="216" t="n"/>
      <c r="L10" s="217" t="n"/>
      <c r="M10" s="215" t="n"/>
      <c r="N10" s="215" t="n"/>
      <c r="O10" s="215" t="n"/>
      <c r="P10" s="215" t="n"/>
      <c r="Q10" s="215" t="n"/>
      <c r="R10" s="215" t="n"/>
      <c r="S10" s="215" t="n"/>
      <c r="T10" s="218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1061</v>
      </c>
      <c r="AH10" s="223" t="n">
        <v>2</v>
      </c>
      <c r="AI10" s="223" t="n">
        <v>828</v>
      </c>
      <c r="AJ10" s="223" t="n"/>
      <c r="AK10" s="223" t="n"/>
      <c r="AL10" s="223" t="n">
        <v>1</v>
      </c>
      <c r="AM10" s="223" t="n">
        <v>2</v>
      </c>
      <c r="AN10" s="223" t="n">
        <v>3</v>
      </c>
      <c r="AO10" s="224" t="n">
        <v>1</v>
      </c>
    </row>
    <row r="11" ht="15" customHeight="1">
      <c r="A11" s="136" t="inlineStr">
        <is>
          <t>SCT</t>
        </is>
      </c>
      <c r="B11" s="137" t="inlineStr">
        <is>
          <t>ICD</t>
        </is>
      </c>
      <c r="C11" s="214" t="n"/>
      <c r="D11" s="215" t="n"/>
      <c r="E11" s="215" t="n"/>
      <c r="F11" s="215" t="n"/>
      <c r="G11" s="215" t="n"/>
      <c r="H11" s="215" t="n"/>
      <c r="I11" s="215" t="n"/>
      <c r="J11" s="215" t="n"/>
      <c r="K11" s="216" t="n"/>
      <c r="L11" s="217" t="n"/>
      <c r="M11" s="215" t="n"/>
      <c r="N11" s="215" t="n"/>
      <c r="O11" s="215" t="n"/>
      <c r="P11" s="215" t="n"/>
      <c r="Q11" s="215" t="n"/>
      <c r="R11" s="215" t="n"/>
      <c r="S11" s="215" t="n"/>
      <c r="T11" s="218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>
        <v>170</v>
      </c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70</v>
      </c>
      <c r="AH14" s="51" t="n"/>
      <c r="AI14" s="51" t="n">
        <v>48</v>
      </c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12-18/10/2026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12-18/10/2026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19</v>
      </c>
      <c r="D31" s="207" t="n"/>
      <c r="E31" s="207" t="n">
        <v>32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5</v>
      </c>
      <c r="D32" s="215" t="n"/>
      <c r="E32" s="215" t="n">
        <v>1</v>
      </c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23" t="inlineStr">
        <is>
          <t>TIFFA</t>
        </is>
      </c>
      <c r="B34" s="44" t="inlineStr">
        <is>
          <t>ICD</t>
        </is>
      </c>
      <c r="C34" s="214" t="n">
        <v>20</v>
      </c>
      <c r="D34" s="215" t="n"/>
      <c r="E34" s="215" t="n"/>
      <c r="F34" s="215" t="n"/>
      <c r="G34" s="215" t="n"/>
      <c r="H34" s="215" t="n"/>
      <c r="I34" s="215" t="n"/>
      <c r="J34" s="215" t="n"/>
      <c r="K34" s="216" t="n"/>
      <c r="L34" s="237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80</v>
      </c>
      <c r="D35" s="223" t="n"/>
      <c r="E35" s="223" t="n">
        <v>10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108</v>
      </c>
      <c r="Y35" s="223" t="n"/>
      <c r="Z35" s="223" t="n">
        <v>61</v>
      </c>
      <c r="AA35" s="223" t="n">
        <v>1</v>
      </c>
      <c r="AB35" s="223" t="n">
        <v>42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250</v>
      </c>
      <c r="D36" s="223" t="n"/>
      <c r="E36" s="223" t="n">
        <v>189</v>
      </c>
      <c r="F36" s="223" t="n">
        <v>4</v>
      </c>
      <c r="G36" s="223" t="n">
        <v>20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1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5</v>
      </c>
      <c r="Y36" s="223" t="n"/>
      <c r="Z36" s="223" t="n">
        <v>5</v>
      </c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136" t="inlineStr">
        <is>
          <t>BMTP</t>
        </is>
      </c>
      <c r="B37" s="137" t="inlineStr">
        <is>
          <t>ICD</t>
        </is>
      </c>
      <c r="C37" s="234" t="n"/>
      <c r="D37" s="235" t="n"/>
      <c r="E37" s="235" t="n"/>
      <c r="F37" s="235" t="n"/>
      <c r="G37" s="235" t="n"/>
      <c r="H37" s="235" t="n"/>
      <c r="I37" s="235" t="n"/>
      <c r="J37" s="235" t="n"/>
      <c r="K37" s="236" t="n"/>
      <c r="L37" s="231">
        <f>SUM(L10-C37)</f>
        <v/>
      </c>
      <c r="M37" s="232">
        <f>SUM(M10-D37)</f>
        <v/>
      </c>
      <c r="N37" s="232">
        <f>SUM(N10-E37)</f>
        <v/>
      </c>
      <c r="O37" s="232">
        <f>SUM(O10-F37)</f>
        <v/>
      </c>
      <c r="P37" s="232">
        <f>SUM(P10-G37)</f>
        <v/>
      </c>
      <c r="Q37" s="232">
        <f>SUM(Q10-H37)</f>
        <v/>
      </c>
      <c r="R37" s="232">
        <f>SUM(R10-I37)</f>
        <v/>
      </c>
      <c r="S37" s="232">
        <f>SUM(S10-J37)</f>
        <v/>
      </c>
      <c r="T37" s="233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390</v>
      </c>
      <c r="Y37" s="223" t="n">
        <v>1</v>
      </c>
      <c r="Z37" s="223" t="n">
        <v>280</v>
      </c>
      <c r="AA37" s="223" t="n"/>
      <c r="AB37" s="223" t="n"/>
      <c r="AC37" s="223" t="n">
        <v>1</v>
      </c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136" t="inlineStr">
        <is>
          <t>SCT</t>
        </is>
      </c>
      <c r="B38" s="137" t="inlineStr">
        <is>
          <t>ICD</t>
        </is>
      </c>
      <c r="C38" s="234" t="n"/>
      <c r="D38" s="235" t="n"/>
      <c r="E38" s="235" t="n"/>
      <c r="F38" s="235" t="n"/>
      <c r="G38" s="235" t="n"/>
      <c r="H38" s="235" t="n"/>
      <c r="I38" s="235" t="n"/>
      <c r="J38" s="235" t="n"/>
      <c r="K38" s="236" t="n"/>
      <c r="L38" s="231">
        <f>SUM(L11-C38)</f>
        <v/>
      </c>
      <c r="M38" s="232">
        <f>SUM(M11-D38)</f>
        <v/>
      </c>
      <c r="N38" s="232">
        <f>SUM(N11-E38)</f>
        <v/>
      </c>
      <c r="O38" s="232">
        <f>SUM(O11-F38)</f>
        <v/>
      </c>
      <c r="P38" s="232">
        <f>SUM(P11-G38)</f>
        <v/>
      </c>
      <c r="Q38" s="232">
        <f>SUM(Q11-H38)</f>
        <v/>
      </c>
      <c r="R38" s="232">
        <f>SUM(R11-I38)</f>
        <v/>
      </c>
      <c r="S38" s="232">
        <f>SUM(S11-J38)</f>
        <v/>
      </c>
      <c r="T38" s="233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3">
        <f>SUM(AG11-X38)</f>
        <v/>
      </c>
      <c r="AH38" s="244">
        <f>SUM(AH11-Y38)</f>
        <v/>
      </c>
      <c r="AI38" s="244">
        <f>SUM(AI11-Z38)</f>
        <v/>
      </c>
      <c r="AJ38" s="244">
        <f>SUM(AJ11-AA38)</f>
        <v/>
      </c>
      <c r="AK38" s="244">
        <f>SUM(AK11-AB38)</f>
        <v/>
      </c>
      <c r="AL38" s="244">
        <f>SUM(AL11-AC38)</f>
        <v/>
      </c>
      <c r="AM38" s="244">
        <f>SUM(AM11-AD38)</f>
        <v/>
      </c>
      <c r="AN38" s="244">
        <f>SUM(AN11-AE38)</f>
        <v/>
      </c>
      <c r="AO38" s="24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3">
        <f>SUM(L12-C39)</f>
        <v/>
      </c>
      <c r="M39" s="244">
        <f>SUM(M12-D39)</f>
        <v/>
      </c>
      <c r="N39" s="244">
        <f>SUM(N12-E39)</f>
        <v/>
      </c>
      <c r="O39" s="244">
        <f>SUM(O12-F39)</f>
        <v/>
      </c>
      <c r="P39" s="244">
        <f>SUM(P12-G39)</f>
        <v/>
      </c>
      <c r="Q39" s="244">
        <f>SUM(Q12-H39)</f>
        <v/>
      </c>
      <c r="R39" s="244">
        <f>SUM(R12-I39)</f>
        <v/>
      </c>
      <c r="S39" s="244">
        <f>SUM(S12-J39)</f>
        <v/>
      </c>
      <c r="T39" s="24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3">
        <f>SUM(AG12-X39)</f>
        <v/>
      </c>
      <c r="AH39" s="244">
        <f>SUM(AH12-Y39)</f>
        <v/>
      </c>
      <c r="AI39" s="244">
        <f>SUM(AI12-Z39)</f>
        <v/>
      </c>
      <c r="AJ39" s="244">
        <f>SUM(AJ12-AA39)</f>
        <v/>
      </c>
      <c r="AK39" s="244">
        <f>SUM(AK12-AB39)</f>
        <v/>
      </c>
      <c r="AL39" s="244">
        <f>SUM(AL12-AC39)</f>
        <v/>
      </c>
      <c r="AM39" s="244">
        <f>SUM(AM12-AD39)</f>
        <v/>
      </c>
      <c r="AN39" s="244">
        <f>SUM(AN12-AE39)</f>
        <v/>
      </c>
      <c r="AO39" s="24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6">
        <f>SUM(L13-C40)</f>
        <v/>
      </c>
      <c r="M40" s="247">
        <f>SUM(M13-D40)</f>
        <v/>
      </c>
      <c r="N40" s="247">
        <f>SUM(N13-E40)</f>
        <v/>
      </c>
      <c r="O40" s="247">
        <f>SUM(O13-F40)</f>
        <v/>
      </c>
      <c r="P40" s="247">
        <f>SUM(P13-G40)</f>
        <v/>
      </c>
      <c r="Q40" s="247">
        <f>SUM(Q13-H40)</f>
        <v/>
      </c>
      <c r="R40" s="247">
        <f>SUM(R13-I40)</f>
        <v/>
      </c>
      <c r="S40" s="247">
        <f>SUM(S13-J40)</f>
        <v/>
      </c>
      <c r="T40" s="24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3">
        <f>SUM(AG13-X40)</f>
        <v/>
      </c>
      <c r="AH40" s="244">
        <f>SUM(AH13-Y40)</f>
        <v/>
      </c>
      <c r="AI40" s="244">
        <f>SUM(AI13-Z40)</f>
        <v/>
      </c>
      <c r="AJ40" s="244">
        <f>SUM(AJ13-AA40)</f>
        <v/>
      </c>
      <c r="AK40" s="244">
        <f>SUM(AK13-AB40)</f>
        <v/>
      </c>
      <c r="AL40" s="244">
        <f>SUM(AL13-AC40)</f>
        <v/>
      </c>
      <c r="AM40" s="244">
        <f>SUM(AM13-AD40)</f>
        <v/>
      </c>
      <c r="AN40" s="244">
        <f>SUM(AN13-AE40)</f>
        <v/>
      </c>
      <c r="AO40" s="245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19-25/10/2026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19-25/10/2026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45</v>
      </c>
      <c r="D45" s="207" t="n"/>
      <c r="E45" s="207" t="n">
        <v>34</v>
      </c>
      <c r="F45" s="207" t="n"/>
      <c r="G45" s="207" t="n"/>
      <c r="H45" s="207" t="n"/>
      <c r="I45" s="207" t="n"/>
      <c r="J45" s="207" t="n"/>
      <c r="K45" s="208" t="n"/>
      <c r="L45" s="249">
        <f>SUM(L31-C45)</f>
        <v/>
      </c>
      <c r="M45" s="226">
        <f>SUM(M31-D45)</f>
        <v/>
      </c>
      <c r="N45" s="250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23" t="inlineStr">
        <is>
          <t>TIFFA</t>
        </is>
      </c>
      <c r="B48" s="44" t="inlineStr">
        <is>
          <t>ICD</t>
        </is>
      </c>
      <c r="C48" s="214" t="n">
        <v>20</v>
      </c>
      <c r="D48" s="215" t="n"/>
      <c r="E48" s="215" t="n"/>
      <c r="F48" s="215" t="n"/>
      <c r="G48" s="215" t="n"/>
      <c r="H48" s="215" t="n"/>
      <c r="I48" s="215" t="n"/>
      <c r="J48" s="215" t="n"/>
      <c r="K48" s="216" t="n"/>
      <c r="L48" s="237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20</v>
      </c>
      <c r="D49" s="223" t="n"/>
      <c r="E49" s="223" t="n">
        <v>14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88</v>
      </c>
      <c r="Y49" s="223" t="n"/>
      <c r="Z49" s="223" t="n">
        <v>15</v>
      </c>
      <c r="AA49" s="223" t="n">
        <v>1</v>
      </c>
      <c r="AB49" s="223" t="n">
        <v>18</v>
      </c>
      <c r="AC49" s="223" t="n"/>
      <c r="AD49" s="223" t="n"/>
      <c r="AE49" s="223" t="n"/>
      <c r="AF49" s="239" t="n"/>
      <c r="AG49" s="240">
        <f>SUM(AG35-X49)</f>
        <v/>
      </c>
      <c r="AH49" s="241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207</v>
      </c>
      <c r="D50" s="223" t="n">
        <v>1</v>
      </c>
      <c r="E50" s="223" t="n">
        <v>136</v>
      </c>
      <c r="F50" s="223" t="n">
        <v>3</v>
      </c>
      <c r="G50" s="223" t="n">
        <v>28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51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136" t="inlineStr">
        <is>
          <t>BMTP</t>
        </is>
      </c>
      <c r="B51" s="137" t="inlineStr">
        <is>
          <t>ICD</t>
        </is>
      </c>
      <c r="C51" s="234" t="n"/>
      <c r="D51" s="235" t="n"/>
      <c r="E51" s="235" t="n"/>
      <c r="F51" s="235" t="n"/>
      <c r="G51" s="235" t="n"/>
      <c r="H51" s="235" t="n"/>
      <c r="I51" s="235" t="n"/>
      <c r="J51" s="235" t="n"/>
      <c r="K51" s="236" t="n"/>
      <c r="L51" s="231">
        <f>SUM(L37-C51)</f>
        <v/>
      </c>
      <c r="M51" s="232">
        <f>SUM(M37-D51)</f>
        <v/>
      </c>
      <c r="N51" s="232">
        <f>SUM(N37-E51)</f>
        <v/>
      </c>
      <c r="O51" s="232">
        <f>SUM(O37-F51)</f>
        <v/>
      </c>
      <c r="P51" s="232">
        <f>SUM(P37-G51)</f>
        <v/>
      </c>
      <c r="Q51" s="232">
        <f>SUM(Q37-H51)</f>
        <v/>
      </c>
      <c r="R51" s="232">
        <f>SUM(R37-I51)</f>
        <v/>
      </c>
      <c r="S51" s="232">
        <f>SUM(S37-J51)</f>
        <v/>
      </c>
      <c r="T51" s="233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155</v>
      </c>
      <c r="Y51" s="223" t="n"/>
      <c r="Z51" s="223" t="n">
        <v>116</v>
      </c>
      <c r="AA51" s="223" t="n"/>
      <c r="AB51" s="223" t="n"/>
      <c r="AC51" s="223" t="n"/>
      <c r="AD51" s="223" t="n"/>
      <c r="AE51" s="223" t="n"/>
      <c r="AF51" s="239" t="n"/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136" t="inlineStr">
        <is>
          <t>SCT</t>
        </is>
      </c>
      <c r="B52" s="137" t="inlineStr">
        <is>
          <t>ICD</t>
        </is>
      </c>
      <c r="C52" s="234" t="n"/>
      <c r="D52" s="235" t="n"/>
      <c r="E52" s="235" t="n"/>
      <c r="F52" s="235" t="n"/>
      <c r="G52" s="235" t="n"/>
      <c r="H52" s="235" t="n"/>
      <c r="I52" s="235" t="n"/>
      <c r="J52" s="235" t="n"/>
      <c r="K52" s="236" t="n"/>
      <c r="L52" s="231">
        <f>SUM(L38-C52)</f>
        <v/>
      </c>
      <c r="M52" s="232">
        <f>SUM(M38-D52)</f>
        <v/>
      </c>
      <c r="N52" s="232">
        <f>SUM(N38-E52)</f>
        <v/>
      </c>
      <c r="O52" s="232">
        <f>SUM(O38-F52)</f>
        <v/>
      </c>
      <c r="P52" s="232">
        <f>SUM(P38-G52)</f>
        <v/>
      </c>
      <c r="Q52" s="232">
        <f>SUM(Q38-H52)</f>
        <v/>
      </c>
      <c r="R52" s="232">
        <f>SUM(R38-I52)</f>
        <v/>
      </c>
      <c r="S52" s="232">
        <f>SUM(S38-J52)</f>
        <v/>
      </c>
      <c r="T52" s="233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3">
        <f>SUM(AG38-X52)</f>
        <v/>
      </c>
      <c r="AH52" s="244">
        <f>SUM(AH38-Y52)</f>
        <v/>
      </c>
      <c r="AI52" s="244">
        <f>SUM(AI38-Z52)</f>
        <v/>
      </c>
      <c r="AJ52" s="244">
        <f>SUM(AJ38-AA52)</f>
        <v/>
      </c>
      <c r="AK52" s="244">
        <f>SUM(AK38-AB52)</f>
        <v/>
      </c>
      <c r="AL52" s="244">
        <f>SUM(AL38-AC52)</f>
        <v/>
      </c>
      <c r="AM52" s="244">
        <f>SUM(AM38-AD52)</f>
        <v/>
      </c>
      <c r="AN52" s="244">
        <f>SUM(AN38-AE52)</f>
        <v/>
      </c>
      <c r="AO52" s="24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3">
        <f>SUM(L39-C53)</f>
        <v/>
      </c>
      <c r="M53" s="244">
        <f>SUM(M39-D53)</f>
        <v/>
      </c>
      <c r="N53" s="244">
        <f>SUM(N39-E53)</f>
        <v/>
      </c>
      <c r="O53" s="244">
        <f>SUM(O39-F53)</f>
        <v/>
      </c>
      <c r="P53" s="244">
        <f>SUM(P39-G53)</f>
        <v/>
      </c>
      <c r="Q53" s="244">
        <f>SUM(Q39-H53)</f>
        <v/>
      </c>
      <c r="R53" s="244">
        <f>SUM(R39-I53)</f>
        <v/>
      </c>
      <c r="S53" s="244">
        <f>SUM(S39-J53)</f>
        <v/>
      </c>
      <c r="T53" s="24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3">
        <f>SUM(AG39-X53)</f>
        <v/>
      </c>
      <c r="AH53" s="244">
        <f>SUM(AH39-Y53)</f>
        <v/>
      </c>
      <c r="AI53" s="244">
        <f>SUM(AI39-Z53)</f>
        <v/>
      </c>
      <c r="AJ53" s="244">
        <f>SUM(AJ39-AA53)</f>
        <v/>
      </c>
      <c r="AK53" s="244">
        <f>SUM(AK39-AB53)</f>
        <v/>
      </c>
      <c r="AL53" s="244">
        <f>SUM(AL39-AC53)</f>
        <v/>
      </c>
      <c r="AM53" s="244">
        <f>SUM(AM39-AD53)</f>
        <v/>
      </c>
      <c r="AN53" s="244">
        <f>SUM(AN39-AE53)</f>
        <v/>
      </c>
      <c r="AO53" s="24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6">
        <f>SUM(L40-C54)</f>
        <v/>
      </c>
      <c r="M54" s="247">
        <f>SUM(M40-D54)</f>
        <v/>
      </c>
      <c r="N54" s="247">
        <f>SUM(N40-E54)</f>
        <v/>
      </c>
      <c r="O54" s="247">
        <f>SUM(O40-F54)</f>
        <v/>
      </c>
      <c r="P54" s="247">
        <f>SUM(P40-G54)</f>
        <v/>
      </c>
      <c r="Q54" s="247">
        <f>SUM(Q40-H54)</f>
        <v/>
      </c>
      <c r="R54" s="247">
        <f>SUM(R40-I54)</f>
        <v/>
      </c>
      <c r="S54" s="247">
        <f>SUM(S40-J54)</f>
        <v/>
      </c>
      <c r="T54" s="24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3">
        <f>SUM(AG40-X54)</f>
        <v/>
      </c>
      <c r="AH54" s="244">
        <f>SUM(AH40-Y54)</f>
        <v/>
      </c>
      <c r="AI54" s="244">
        <f>SUM(AI40-Z54)</f>
        <v/>
      </c>
      <c r="AJ54" s="244">
        <f>SUM(AJ40-AA54)</f>
        <v/>
      </c>
      <c r="AK54" s="244">
        <f>SUM(AK40-AB54)</f>
        <v/>
      </c>
      <c r="AL54" s="244">
        <f>SUM(AL40-AC54)</f>
        <v/>
      </c>
      <c r="AM54" s="244">
        <f>SUM(AM40-AD54)</f>
        <v/>
      </c>
      <c r="AN54" s="244">
        <f>SUM(AN40-AE54)</f>
        <v/>
      </c>
      <c r="AO54" s="245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4</v>
      </c>
      <c r="C4" s="123" t="n"/>
      <c r="D4" s="123" t="n">
        <v>1</v>
      </c>
      <c r="E4" s="118" t="n"/>
      <c r="F4" s="122" t="n">
        <v>2025</v>
      </c>
      <c r="G4" s="123" t="n">
        <v>10</v>
      </c>
      <c r="H4" s="123" t="n"/>
      <c r="I4" s="123" t="n">
        <v>1</v>
      </c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1</v>
      </c>
      <c r="C6" s="125" t="n"/>
      <c r="D6" s="125" t="n"/>
      <c r="F6" s="124" t="n">
        <v>2021</v>
      </c>
      <c r="G6" s="125" t="n">
        <v>5</v>
      </c>
      <c r="H6" s="125" t="n"/>
      <c r="I6" s="125" t="n"/>
    </row>
    <row r="7" ht="16.15" customHeight="1">
      <c r="A7" s="124" t="n">
        <v>2020</v>
      </c>
      <c r="B7" s="125" t="n">
        <v>1</v>
      </c>
      <c r="C7" s="125" t="n"/>
      <c r="D7" s="125" t="n">
        <v>1</v>
      </c>
      <c r="F7" s="124" t="n">
        <v>2020</v>
      </c>
      <c r="G7" s="125" t="n">
        <v>8</v>
      </c>
      <c r="H7" s="125" t="n"/>
      <c r="I7" s="125" t="n">
        <v>1</v>
      </c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2">
        <f>Daily!L14</f>
        <v/>
      </c>
      <c r="D4" s="252">
        <f>Daily!M14</f>
        <v/>
      </c>
      <c r="E4" s="252">
        <f>Daily!N14</f>
        <v/>
      </c>
      <c r="F4" s="252">
        <f>Daily!O14</f>
        <v/>
      </c>
      <c r="G4" s="252">
        <f>Daily!P14</f>
        <v/>
      </c>
      <c r="H4" s="252">
        <f>Daily!Q14</f>
        <v/>
      </c>
      <c r="I4" s="252">
        <f>Daily!R14</f>
        <v/>
      </c>
      <c r="J4" s="252">
        <f>Daily!S14</f>
        <v/>
      </c>
      <c r="K4" s="252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3">
        <f>Daily!C15</f>
        <v/>
      </c>
      <c r="D7" s="253">
        <f>Daily!D15</f>
        <v/>
      </c>
      <c r="E7" s="253">
        <f>Daily!E15</f>
        <v/>
      </c>
      <c r="F7" s="253">
        <f>Daily!F15</f>
        <v/>
      </c>
      <c r="G7" s="253">
        <f>Daily!G15</f>
        <v/>
      </c>
      <c r="H7" s="253">
        <f>Daily!H15</f>
        <v/>
      </c>
      <c r="I7" s="253">
        <f>Daily!I15</f>
        <v/>
      </c>
      <c r="J7" s="253">
        <f>Daily!J15</f>
        <v/>
      </c>
      <c r="K7" s="253">
        <f>Daily!K15</f>
        <v/>
      </c>
    </row>
    <row r="8" ht="15.6" customHeight="1" thickBot="1">
      <c r="B8" s="100" t="inlineStr">
        <is>
          <t>Booking(This week)</t>
        </is>
      </c>
      <c r="C8" s="252">
        <f>Daily!C41</f>
        <v/>
      </c>
      <c r="D8" s="252">
        <f>Daily!D41</f>
        <v/>
      </c>
      <c r="E8" s="252">
        <f>Daily!E41</f>
        <v/>
      </c>
      <c r="F8" s="252">
        <f>Daily!F41</f>
        <v/>
      </c>
      <c r="G8" s="252">
        <f>Daily!G41</f>
        <v/>
      </c>
      <c r="H8" s="252">
        <f>Daily!H41</f>
        <v/>
      </c>
      <c r="I8" s="252">
        <f>Daily!I41</f>
        <v/>
      </c>
      <c r="J8" s="252">
        <f>Daily!J41</f>
        <v/>
      </c>
      <c r="K8" s="252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4">
        <f>Daily!C55</f>
        <v/>
      </c>
      <c r="D9" s="254">
        <f>Daily!D55</f>
        <v/>
      </c>
      <c r="E9" s="254">
        <f>Daily!E55</f>
        <v/>
      </c>
      <c r="F9" s="254">
        <f>Daily!F55</f>
        <v/>
      </c>
      <c r="G9" s="254">
        <f>Daily!G55</f>
        <v/>
      </c>
      <c r="H9" s="254">
        <f>Daily!H55</f>
        <v/>
      </c>
      <c r="I9" s="254">
        <f>Daily!I55</f>
        <v/>
      </c>
      <c r="J9" s="254">
        <f>Daily!J55</f>
        <v/>
      </c>
      <c r="K9" s="254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5">
        <f>SUM(C3+C4+C5+C6+C7-C8-C9)</f>
        <v/>
      </c>
      <c r="D10" s="255">
        <f>SUM(D3+D4+D5+D6+D7-D8-D9)</f>
        <v/>
      </c>
      <c r="E10" s="255">
        <f>SUM(E3+E4+E5+E6+E7-E8-E9)</f>
        <v/>
      </c>
      <c r="F10" s="255">
        <f>SUM(F3+F4+F5+F6+F7-F8-F9)</f>
        <v/>
      </c>
      <c r="G10" s="256">
        <f>SUM(G3+G4+G5+G6+G7-G8-G9)</f>
        <v/>
      </c>
      <c r="H10" s="256">
        <f>SUM(H3+H4+H5+H6+H7-H8-H9)</f>
        <v/>
      </c>
      <c r="I10" s="256">
        <f>SUM(I3+I4+I5+I6+I7-I8-I9)</f>
        <v/>
      </c>
      <c r="J10" s="256">
        <f>SUM(J3+J4+J5+J6+J7-J8-J9)</f>
        <v/>
      </c>
      <c r="K10" s="256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2">
        <f>Daily!AG14</f>
        <v/>
      </c>
      <c r="D15" s="252">
        <f>Daily!AH14</f>
        <v/>
      </c>
      <c r="E15" s="252">
        <f>Daily!AI14</f>
        <v/>
      </c>
      <c r="F15" s="252">
        <f>Daily!AJ14</f>
        <v/>
      </c>
      <c r="G15" s="252">
        <f>Daily!AK14</f>
        <v/>
      </c>
      <c r="H15" s="252">
        <f>Daily!AL14</f>
        <v/>
      </c>
      <c r="I15" s="252">
        <f>Daily!AM14</f>
        <v/>
      </c>
      <c r="J15" s="252">
        <f>Daily!AN14</f>
        <v/>
      </c>
      <c r="K15" s="252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3">
        <f>Daily!X15</f>
        <v/>
      </c>
      <c r="D18" s="253">
        <f>Daily!Y15</f>
        <v/>
      </c>
      <c r="E18" s="253">
        <f>Daily!Z15</f>
        <v/>
      </c>
      <c r="F18" s="253">
        <f>Daily!AA15</f>
        <v/>
      </c>
      <c r="G18" s="253">
        <f>Daily!AB15</f>
        <v/>
      </c>
      <c r="H18" s="253">
        <f>Daily!AC15</f>
        <v/>
      </c>
      <c r="I18" s="253">
        <f>Daily!AD15</f>
        <v/>
      </c>
      <c r="J18" s="253">
        <f>Daily!AE15</f>
        <v/>
      </c>
      <c r="K18" s="253">
        <f>Daily!AF15</f>
        <v/>
      </c>
    </row>
    <row r="19" ht="15.6" customHeight="1" thickBot="1">
      <c r="B19" s="112" t="inlineStr">
        <is>
          <t>Booking(This week)</t>
        </is>
      </c>
      <c r="C19" s="254">
        <f>Daily!X41</f>
        <v/>
      </c>
      <c r="D19" s="254">
        <f>Daily!Y41</f>
        <v/>
      </c>
      <c r="E19" s="254">
        <f>Daily!Z41</f>
        <v/>
      </c>
      <c r="F19" s="254">
        <f>Daily!AA41</f>
        <v/>
      </c>
      <c r="G19" s="254">
        <f>Daily!AB41</f>
        <v/>
      </c>
      <c r="H19" s="254">
        <f>Daily!AC41</f>
        <v/>
      </c>
      <c r="I19" s="257">
        <f>Daily!AD41</f>
        <v/>
      </c>
      <c r="J19" s="257">
        <f>Daily!AE41</f>
        <v/>
      </c>
      <c r="K19" s="254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4">
        <f>Daily!X55</f>
        <v/>
      </c>
      <c r="D20" s="254">
        <f>Daily!Y55</f>
        <v/>
      </c>
      <c r="E20" s="254">
        <f>Daily!Z55</f>
        <v/>
      </c>
      <c r="F20" s="254">
        <f>Daily!AA55</f>
        <v/>
      </c>
      <c r="G20" s="254">
        <f>Daily!AB55</f>
        <v/>
      </c>
      <c r="H20" s="254">
        <f>Daily!AC55</f>
        <v/>
      </c>
      <c r="I20" s="254">
        <f>Daily!AD55</f>
        <v/>
      </c>
      <c r="J20" s="254">
        <f>Daily!AE55</f>
        <v/>
      </c>
      <c r="K20" s="254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5">
        <f>SUM(C14+C15+C16+C17+C18-C19-C20)</f>
        <v/>
      </c>
      <c r="D21" s="255">
        <f>SUM(D14+D15+D16+D17+D18-D19-D20)</f>
        <v/>
      </c>
      <c r="E21" s="255">
        <f>SUM(E14+E15+E16+E17+E18-E19-E20)</f>
        <v/>
      </c>
      <c r="F21" s="255">
        <f>SUM(F14+F15+F16+F17+F18-F19-F20)</f>
        <v/>
      </c>
      <c r="G21" s="255">
        <f>SUM(G14+G15+G16+G17+G18-G19-G20)</f>
        <v/>
      </c>
      <c r="H21" s="256">
        <f>SUM(H14+H15+H16+H17+H18-H19-H20)</f>
        <v/>
      </c>
      <c r="I21" s="255">
        <f>SUM(I14+I15+I16+I17+I18-I19-I20)</f>
        <v/>
      </c>
      <c r="J21" s="255">
        <f>SUM(J14+J15+J16+J17+J18-J19-J20)</f>
        <v/>
      </c>
      <c r="K21" s="255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2026-10-12T01:32:28Z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